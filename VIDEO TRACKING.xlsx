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agram Analytics" sheetId="1" r:id="rId4"/>
    <sheet state="hidden" name="TikTok Analytics" sheetId="2" r:id="rId5"/>
    <sheet state="hidden" name="Weekly AnalyticsOLD" sheetId="3" r:id="rId6"/>
    <sheet state="visible" name="Sheet6" sheetId="4" r:id="rId7"/>
  </sheets>
  <definedNames/>
  <calcPr/>
</workbook>
</file>

<file path=xl/sharedStrings.xml><?xml version="1.0" encoding="utf-8"?>
<sst xmlns="http://schemas.openxmlformats.org/spreadsheetml/2006/main" count="452" uniqueCount="207">
  <si>
    <t>&gt;50%</t>
  </si>
  <si>
    <t>2-5%</t>
  </si>
  <si>
    <t>&gt;90%</t>
  </si>
  <si>
    <t>Date</t>
  </si>
  <si>
    <t>Video Name</t>
  </si>
  <si>
    <t>Account</t>
  </si>
  <si>
    <t>Caption</t>
  </si>
  <si>
    <t>Script</t>
  </si>
  <si>
    <t>Views</t>
  </si>
  <si>
    <t>Shares</t>
  </si>
  <si>
    <t>Saves</t>
  </si>
  <si>
    <t>Follows</t>
  </si>
  <si>
    <t>Watch Time</t>
  </si>
  <si>
    <t>Length of Video</t>
  </si>
  <si>
    <t>Retention</t>
  </si>
  <si>
    <t>Shares:Views</t>
  </si>
  <si>
    <t>Saves:Views</t>
  </si>
  <si>
    <t>Followers/Reach</t>
  </si>
  <si>
    <t>Non-Follower Reach</t>
  </si>
  <si>
    <t>secret to consistency</t>
  </si>
  <si>
    <t>@konavus</t>
  </si>
  <si>
    <t>overworking yourself</t>
  </si>
  <si>
    <t>waking up early</t>
  </si>
  <si>
    <t>entering flow state</t>
  </si>
  <si>
    <t>Entering Flow State 🌊 Ever feel like you’re on top of the world, everything’s finally going right, and then suddenly it all falls apart? Yeah, I’ve been there. You build momentum, feel like you’ve cracked the code, and then life throws you off track. It’s frustrating—but it’s also part of the process.Ever feel like you’re on top of the world, everything’s finally going right, and then suddenly it all falls apart? Yeah, I’ve been there. You build momentum, feel like you’ve cracked the code, and then life throws you off track. It’s frustrating—but it’s also part of the process. So if you’ve slowed down or feel like you’ve lost your rhythm, don’t beat yourself up. Start small, start today, and get back in the game. One step at a time—that’s where momentum truly builds. What small action can you take today to get back on track? Let me know, and let’s hold each other accountable. #konavus #momentumshift #consistencyiskey #smallstepsmatter #inspiration</t>
  </si>
  <si>
    <t>"You ever feel like you’ve finally got momentum? You’re in your flow, everything’s clicking—like, 'Damn, I finally figured it out.'""That was me. Being brutally honest its me right now. I had everything going for weeks—waking up early, hitting my goals, feeling unstoppable. But then, I took my foot off the gas. I told myself, ‘I deserve a break,’ and before I knew it, it all crumbled. I lost that flow and went right back to square one.""So what am I going to do it about? Well I know that momentum isn’t about going full speed 24/7. It’s about showing up, even on the hard days."If you’ve taken your foot off the gas, start again today. Just one small step—that’s all it takes to get back in the flow."</t>
  </si>
  <si>
    <t>how to stay on track</t>
  </si>
  <si>
    <t>The 2-Day Rule: How to Stay on Track 🕒 Ever have a solid streak going—everything’s on track—and then you miss one day, and it all falls apart? I’ve been there. I’d be consistent for weeks, then skip one workout or work session, thinking, “I’ll get back to it tomorrow.” But tomorrow turned into next week, and before I knew it, my momentum was gone. What’s helped me is the 2-day rule: if I miss a day, that’s okay—but I make sure I don’t miss two in a row. It’s a way to keep moving forward without falling into the “I’ll start fresh next week” trap. If you’re feeling stuck, try the 2-day rule. A day off is fine—just don’t let it turn into a week. Let’s keep that momentum alive, one day at a time. Drop a follow if you’re committing to consistency today! What’s helped me is the 2-day rule: if I miss a day, that’s okay—but I make sure I don’t miss two in a row. It’s a way to keep moving forward without falling into the “I’ll start fresh next week” trap. If you’re feeling stuck, try the 2-day rule. A day off is fine—just don’t let it turn into a week. Let’s keep that momentum alive, one day at a time.Drop a follow if you’re committing to consistency today!</t>
  </si>
  <si>
    <t>"You ever have a good streak going—feeling unstoppable—then miss one day and suddenly it all falls apart?""That was me. I’d be consistent for a week or two, then I’d skip a workout or a work session, and it was like everything unraveled. I’d tell myself, ‘I’ll get back to it tomorrow,’ but tomorrow never came. One missed day became a week, then 2 weeks.""But I remembered the 2-day rule: never miss more than two days in a row. It’s okay to skip one day—you’re human—but get back on it the next. This kept me from the typical ‘I’ll start on Monday’ mindset.""If you’ve fallen off, try the 2-day rule. Skip a day if you need, but don’t let it turn into two. Keep your momentum alive."</t>
  </si>
  <si>
    <t>unstoppable momentum</t>
  </si>
  <si>
    <t>don't save this video</t>
  </si>
  <si>
    <t>cram to-do list</t>
  </si>
  <si>
    <t>make your impact</t>
  </si>
  <si>
    <t>momentum</t>
  </si>
  <si>
    <t>wasting weekend</t>
  </si>
  <si>
    <t>power of consistency</t>
  </si>
  <si>
    <t>public failures</t>
  </si>
  <si>
    <t>day 1 for 5 years</t>
  </si>
  <si>
    <t>high stress</t>
  </si>
  <si>
    <t>inventeror</t>
  </si>
  <si>
    <t>Want To Be an Inventeror 🔬The dream of building something has been there since I was a kid. I made a promise to my younger self to build something that will change the world.I believe in this goal like a mad man. I am obsessed and driven to build a product that will help people in ways nobody has before.If you liked this video, consider following @konavus!#konavus #creative #entrepreneur #mindset #inventor</t>
  </si>
  <si>
    <t>Hook: "When I was a kid, my dream was simple—I wanted to be an inventor."Script: Backstory: “I remember writing it in my primary school book: ‘When I grow up, I want to be an inventor.’ I didn’t know what that would look like, but I knew I’d never fit in a 9-to-5.”Journey: “As I got older, everyone around me seemed to have these typical plans—traditional careers, corporate ladders. But for me? That never felt right.”Epiphany: “One day, I realized—I didn’t need to fit into someone else’s box. I wanted to make my younger self proud, to build things that didn’t exist yet.”Insights: “I don’t plan to be just another creator or employee. I’m here to invent. To anyone who’s ever felt different: trust that feeling. It’s your path.”</t>
  </si>
  <si>
    <t>people around you fuel you</t>
  </si>
  <si>
    <t>wasting your potential</t>
  </si>
  <si>
    <t>environment affect you</t>
  </si>
  <si>
    <t>times restarting</t>
  </si>
  <si>
    <t>How many times are you going to restart? ⏰I spent the last 5 years tweaking and reworking my 5 year plan. Until time past me by.Don’t make the same mistake I did.Don’t waste your time. Because life is shorter than you realize.If you liked this video, consider following @konavus! Helps a TON!••#konavus #consistency #5year #planning #growth</t>
  </si>
  <si>
    <t>**Hook**: How many times have you rewritten your goals and still not started? That was me—for five years straight.**Backstory**:“I literally spent five years making a five-year plan. I thought if I mapped out every detail, I’d feel in control of my future. But every time life threw something unexpected, I’d scrap it and start over.”**Journey**:“I kept re-planning instead of taking action. The more I focused on the details, the more stuck I felt. Five years later, I had nothing to show for it.”**Epiphany**:“No plan will ever be perfect. And I didn’t need one. So I’ve stopped obsessing over the planning of details and started actually trying to do the work needed.”**Insight**:“To have control of your future, you need to have control of your present. If you’re stuck in planning mode, stop. The future you want isn’t in the plan—it’s in the doing.”</t>
  </si>
  <si>
    <t>losing future to scrolling</t>
  </si>
  <si>
    <t>winter is a bunch of bs</t>
  </si>
  <si>
    <t>comparing yourself</t>
  </si>
  <si>
    <t>feeling ready is bs</t>
  </si>
  <si>
    <t>purpose does not exist</t>
  </si>
  <si>
    <t>Purpose Does Not Exist.Do not kid yourself by thinking that you were born to do something.That piss you off?Good.Be upset by that simplistic idea.“Purpose”??Do what makes you feel ALIVEThat’s the only thing you can take after your 80 years of life.Experience. Joy and experience.Love what you do. And work hard it.••#konavus #inspiration #lifestyle #growth</t>
  </si>
  <si>
    <t>**Hook**: “On a floating rock in a billions-year-old universe, why does everyone act like you’re born with a purpose?”**Backstory**:“I used to feel completely stuck, searching for my ‘why,’ thinking I was supposed to have it all figured out.”**Journey**:“The harder I searched, the more frustrated I became. Everyone made it sound like purpose was something you just discover, but I couldn’t find it.”**Epiphany**:“Hate to break it to you, but purpose isn’t handed to you—it’s something you create by doing what makes you feel alive.”**Insight**:“Stop searching for your purpose. Start doing what makes you happy now, and let your purpose grow from there. Purpose isn’t found—it’s created.”</t>
  </si>
  <si>
    <t>energy in = energy out</t>
  </si>
  <si>
    <t>no idea wtf i am doing</t>
  </si>
  <si>
    <t>@konavusclips</t>
  </si>
  <si>
    <t>n/a</t>
  </si>
  <si>
    <t>sailor quote</t>
  </si>
  <si>
    <t>suck at first</t>
  </si>
  <si>
    <t>future on the line</t>
  </si>
  <si>
    <t>start being a creator</t>
  </si>
  <si>
    <t>no more excuses</t>
  </si>
  <si>
    <t>&gt;8%</t>
  </si>
  <si>
    <t>&gt;80%</t>
  </si>
  <si>
    <t>Likes</t>
  </si>
  <si>
    <t>Like:Views</t>
  </si>
  <si>
    <t>New Viewers Reach</t>
  </si>
  <si>
    <t>if the advice doesn't fit you</t>
  </si>
  <si>
    <t>trying your absolute best</t>
  </si>
  <si>
    <t>(POSTED TWICE)</t>
  </si>
  <si>
    <t>failing a class</t>
  </si>
  <si>
    <t>becoming a creator</t>
  </si>
  <si>
    <t>Goals</t>
  </si>
  <si>
    <t>YouTube Growth Targets</t>
  </si>
  <si>
    <t>Instagram Growth Targets</t>
  </si>
  <si>
    <t>TikTok Growth Targets</t>
  </si>
  <si>
    <t>Q4 2024: 800 subscribers</t>
  </si>
  <si>
    <t>Q4 2024: 5,000 followers</t>
  </si>
  <si>
    <t>Q4 2024: 1,000 followers</t>
  </si>
  <si>
    <t>Q1 2025: 2,000 subscribers</t>
  </si>
  <si>
    <t>Q1 2025: 15,000 followers</t>
  </si>
  <si>
    <t>Q1 2025: 10,000 followers</t>
  </si>
  <si>
    <t>Q2 2025: 4,000 subscribers</t>
  </si>
  <si>
    <t>Q2 2025: 35,000 followers</t>
  </si>
  <si>
    <t>Q2 2025: 30,000 followers</t>
  </si>
  <si>
    <t>Q3 2025: 6,500 subscribers</t>
  </si>
  <si>
    <t>Q3 2025: 65,000 followers</t>
  </si>
  <si>
    <t>Q3 2025: 60,000 followers</t>
  </si>
  <si>
    <t>Q4 2025: 10,000 subscribers</t>
  </si>
  <si>
    <t>Q4 2025: 100,000 followers</t>
  </si>
  <si>
    <t>Click-Through Rate (CTR):  5-7%</t>
  </si>
  <si>
    <t>Engagement Rate: 3-4%</t>
  </si>
  <si>
    <t>Average Watch Time: 50-60%</t>
  </si>
  <si>
    <t>Retention Rate: 55-60%</t>
  </si>
  <si>
    <t>Reach Increase: 20% increase</t>
  </si>
  <si>
    <t>Engagement Rate: 10%</t>
  </si>
  <si>
    <t>Watch Hours: 15-20% increase</t>
  </si>
  <si>
    <t>Story Engagement Rate: 10-15%</t>
  </si>
  <si>
    <t>Swiped: 60% viewed</t>
  </si>
  <si>
    <t>MONTH 1</t>
  </si>
  <si>
    <t>AVG</t>
  </si>
  <si>
    <t>MONTH 2</t>
  </si>
  <si>
    <t xml:space="preserve">Week 1 (21th-28th) </t>
  </si>
  <si>
    <t xml:space="preserve">Week 2 (29th-5th) </t>
  </si>
  <si>
    <t>Week 3 (6th - 12th)</t>
  </si>
  <si>
    <t>Week 4 (12th - 20th)</t>
  </si>
  <si>
    <t>Week 5 (21st - 27th)</t>
  </si>
  <si>
    <t>Week 6 (28th-3rd)</t>
  </si>
  <si>
    <t>YouTube</t>
  </si>
  <si>
    <t>CTR</t>
  </si>
  <si>
    <t>NO VIDEO</t>
  </si>
  <si>
    <t>66.4hrs</t>
  </si>
  <si>
    <t>18.8hrs</t>
  </si>
  <si>
    <t>26.4hrs</t>
  </si>
  <si>
    <t>36.1hrs</t>
  </si>
  <si>
    <t>10hrs</t>
  </si>
  <si>
    <t>16hrs</t>
  </si>
  <si>
    <t>Swipe Rate</t>
  </si>
  <si>
    <t>Instagram</t>
  </si>
  <si>
    <t>Engagement</t>
  </si>
  <si>
    <t>Reach</t>
  </si>
  <si>
    <t>Story</t>
  </si>
  <si>
    <t>TikTok</t>
  </si>
  <si>
    <t>AWT</t>
  </si>
  <si>
    <t>MONTH 3 - NOVEMBER</t>
  </si>
  <si>
    <t>TOTAL VIEWS</t>
  </si>
  <si>
    <t>MONTH 4 - DECEMBER</t>
  </si>
  <si>
    <t xml:space="preserve">Week 1 (1st-7th) </t>
  </si>
  <si>
    <t xml:space="preserve">Week 2 (8th-14th) </t>
  </si>
  <si>
    <t>Week 3 (15th - 21st)</t>
  </si>
  <si>
    <t>Week 4 (22h - 30th)</t>
  </si>
  <si>
    <t xml:space="preserve">Week 1 (1st-8th) </t>
  </si>
  <si>
    <t xml:space="preserve">Week 2 (9th-15th) </t>
  </si>
  <si>
    <t>Week 3 (16th - 22nd)</t>
  </si>
  <si>
    <t>Week 4 (23rd - 31st)</t>
  </si>
  <si>
    <t>Dates</t>
  </si>
  <si>
    <t>Total Views</t>
  </si>
  <si>
    <t xml:space="preserve">November 1st-7th </t>
  </si>
  <si>
    <t>2.9%%</t>
  </si>
  <si>
    <t xml:space="preserve">November 8th-14th </t>
  </si>
  <si>
    <t>Total Retention</t>
  </si>
  <si>
    <t>November 15th-21st</t>
  </si>
  <si>
    <t>LF Retention</t>
  </si>
  <si>
    <t>Average View Duration</t>
  </si>
  <si>
    <t>November 22th-30th</t>
  </si>
  <si>
    <t>26hrs</t>
  </si>
  <si>
    <t>26.3hrs</t>
  </si>
  <si>
    <t>9.9hrs</t>
  </si>
  <si>
    <t>34hrs</t>
  </si>
  <si>
    <t>28.4hrs</t>
  </si>
  <si>
    <t>40.2hrs</t>
  </si>
  <si>
    <t>December 1st-8th</t>
  </si>
  <si>
    <t>December 9th-15th</t>
  </si>
  <si>
    <t>December 16th-22nd</t>
  </si>
  <si>
    <t>Subscribers</t>
  </si>
  <si>
    <t>December 23rd-31st</t>
  </si>
  <si>
    <t>January 1st-7th</t>
  </si>
  <si>
    <t>January 8th - 4th</t>
  </si>
  <si>
    <t>January 15th-21st</t>
  </si>
  <si>
    <t>January 22th-30th</t>
  </si>
  <si>
    <t>Profile Visits</t>
  </si>
  <si>
    <t>February 3rd-9th</t>
  </si>
  <si>
    <t>February 10th-16th</t>
  </si>
  <si>
    <t>Clips</t>
  </si>
  <si>
    <t>Followers</t>
  </si>
  <si>
    <t>Main</t>
  </si>
  <si>
    <t>MONTH 1 - JANUARY</t>
  </si>
  <si>
    <t>MONTH 2- FEBRUARY</t>
  </si>
  <si>
    <t xml:space="preserve">Week 1 (3rd-9th) </t>
  </si>
  <si>
    <t xml:space="preserve">Week 2 (10th-16th) </t>
  </si>
  <si>
    <t>Week 3 (17th - 23rd)</t>
  </si>
  <si>
    <t>Week 4 (24th - 2nd)</t>
  </si>
  <si>
    <t>SKIP</t>
  </si>
  <si>
    <t>LF Retention (7s)</t>
  </si>
  <si>
    <t>LF Retention (30s)</t>
  </si>
  <si>
    <t>LF AVD</t>
  </si>
  <si>
    <t>15.6hrs</t>
  </si>
  <si>
    <t>Click-Through Rate (CTR):  10-15%</t>
  </si>
  <si>
    <t>GOAL</t>
  </si>
  <si>
    <t>M0</t>
  </si>
  <si>
    <t>15K</t>
  </si>
  <si>
    <t>M1</t>
  </si>
  <si>
    <t>27K</t>
  </si>
  <si>
    <t>M2</t>
  </si>
  <si>
    <t>48K</t>
  </si>
  <si>
    <t>M3</t>
  </si>
  <si>
    <t>86K</t>
  </si>
  <si>
    <t>M4</t>
  </si>
  <si>
    <t>155K</t>
  </si>
  <si>
    <t>M5</t>
  </si>
  <si>
    <t>279K</t>
  </si>
  <si>
    <t>M6</t>
  </si>
  <si>
    <t>500K</t>
  </si>
  <si>
    <t>MONTH 1 - SEPTEMBER</t>
  </si>
  <si>
    <t>LF Retention (10s)</t>
  </si>
  <si>
    <t>Day of</t>
  </si>
  <si>
    <t>7 days after</t>
  </si>
  <si>
    <t>30 days after</t>
  </si>
  <si>
    <t>Change thumbnail every 6 months/run new test</t>
  </si>
  <si>
    <t>Retention 30s</t>
  </si>
  <si>
    <t>70-90%</t>
  </si>
  <si>
    <t>Create new questions that need to be answered</t>
  </si>
  <si>
    <t>AV%</t>
  </si>
  <si>
    <t>New vs Returning</t>
  </si>
  <si>
    <t>50% New</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</si>
</sst>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
    <numFmt numFmtId="165" formatCode="m/d"/>
    <numFmt numFmtId="166" formatCode="0.0"/>
  </numFmts>
  <fonts count="4">
    <font>
      <sz val="10.0"/>
      <color rgb="FF000000"/>
      <name val="Arial"/>
      <scheme val="minor"/>
    </font>
    <font>
      <sz val="9.0"/>
      <color rgb="FF1F1F1F"/>
      <name val="&quot;Google Sans&quot;"/>
    </font>
    <font>
      <color theme="1"/>
      <name val="Arial"/>
      <scheme val="minor"/>
    </font>
    <font>
      <b/>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0"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9" xfId="0" applyFont="1" applyNumberFormat="1"/>
    <xf borderId="0" fillId="0" fontId="2" numFmtId="10" xfId="0" applyFont="1" applyNumberFormat="1"/>
    <xf borderId="0" fillId="0" fontId="2" numFmtId="10" xfId="0" applyAlignment="1" applyFont="1" applyNumberFormat="1">
      <alignment readingOrder="0"/>
    </xf>
    <xf borderId="0" fillId="0" fontId="2" numFmtId="165" xfId="0" applyAlignment="1" applyFont="1" applyNumberFormat="1">
      <alignment readingOrder="0"/>
    </xf>
    <xf borderId="0" fillId="0" fontId="2" numFmtId="9" xfId="0" applyAlignment="1" applyFont="1" applyNumberFormat="1">
      <alignment readingOrder="0"/>
    </xf>
    <xf borderId="0" fillId="0" fontId="3" numFmtId="0" xfId="0" applyAlignment="1" applyFont="1">
      <alignment readingOrder="0"/>
    </xf>
    <xf borderId="0" fillId="0" fontId="2" numFmtId="0" xfId="0" applyAlignment="1" applyFont="1">
      <alignment readingOrder="0"/>
    </xf>
    <xf borderId="0" fillId="0" fontId="2" numFmtId="166" xfId="0" applyFont="1" applyNumberFormat="1"/>
    <xf borderId="0" fillId="0" fontId="2" numFmtId="3" xfId="0" applyFont="1" applyNumberFormat="1"/>
    <xf borderId="0" fillId="0" fontId="2" numFmtId="10" xfId="0" applyAlignment="1" applyFont="1" applyNumberFormat="1">
      <alignment readingOrder="0"/>
    </xf>
    <xf borderId="0" fillId="0" fontId="2" numFmtId="20" xfId="0" applyAlignment="1" applyFont="1" applyNumberFormat="1">
      <alignment readingOrder="0"/>
    </xf>
    <xf borderId="0" fillId="0" fontId="2" numFmtId="20" xfId="0" applyAlignment="1" applyFont="1" applyNumberFormat="1">
      <alignment readingOrder="0"/>
    </xf>
    <xf borderId="0" fillId="0" fontId="2" numFmtId="0" xfId="0" applyFont="1"/>
    <xf borderId="0" fillId="0" fontId="2" numFmtId="1" xfId="0" applyFont="1" applyNumberFormat="1"/>
    <xf borderId="0" fillId="0" fontId="2" numFmtId="3" xfId="0" applyAlignment="1" applyFont="1" applyNumberFormat="1">
      <alignment readingOrder="0"/>
    </xf>
    <xf borderId="0" fillId="0" fontId="2" numFmtId="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Views vs. Dates</a:t>
            </a:r>
          </a:p>
        </c:rich>
      </c:tx>
      <c:overlay val="0"/>
    </c:title>
    <c:plotArea>
      <c:layout/>
      <c:lineChart>
        <c:varyColors val="0"/>
        <c:ser>
          <c:idx val="0"/>
          <c:order val="0"/>
          <c:tx>
            <c:strRef>
              <c:f>'Weekly AnalyticsOLD'!$Q$31</c:f>
            </c:strRef>
          </c:tx>
          <c:spPr>
            <a:ln cmpd="sng">
              <a:solidFill>
                <a:srgbClr val="4285F4"/>
              </a:solidFill>
            </a:ln>
          </c:spPr>
          <c:marker>
            <c:symbol val="circle"/>
            <c:size val="7"/>
            <c:spPr>
              <a:solidFill>
                <a:srgbClr val="4285F4"/>
              </a:solidFill>
              <a:ln cmpd="sng">
                <a:solidFill>
                  <a:srgbClr val="4285F4"/>
                </a:solidFill>
              </a:ln>
            </c:spPr>
          </c:marker>
          <c:cat>
            <c:strRef>
              <c:f>'Weekly AnalyticsOLD'!$P$32:$P$45</c:f>
            </c:strRef>
          </c:cat>
          <c:val>
            <c:numRef>
              <c:f>'Weekly AnalyticsOLD'!$Q$32:$Q$45</c:f>
              <c:numCache/>
            </c:numRef>
          </c:val>
          <c:smooth val="0"/>
        </c:ser>
        <c:axId val="1346783643"/>
        <c:axId val="1261742694"/>
      </c:lineChart>
      <c:catAx>
        <c:axId val="13467836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spPr/>
        <c:txPr>
          <a:bodyPr/>
          <a:lstStyle/>
          <a:p>
            <a:pPr lvl="0">
              <a:defRPr b="0">
                <a:solidFill>
                  <a:srgbClr val="000000"/>
                </a:solidFill>
                <a:latin typeface="+mn-lt"/>
              </a:defRPr>
            </a:pPr>
          </a:p>
        </c:txPr>
        <c:crossAx val="1261742694"/>
      </c:catAx>
      <c:valAx>
        <c:axId val="12617426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Views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6783643"/>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704850</xdr:colOff>
      <xdr:row>30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2.0"/>
    <col customWidth="1" min="3" max="3" width="15.25"/>
    <col customWidth="1" min="10" max="10" width="16.25"/>
    <col customWidth="1" min="15" max="15" width="16.13"/>
    <col customWidth="1" min="16" max="17" width="17.25"/>
  </cols>
  <sheetData>
    <row r="2">
      <c r="L2" s="1" t="s">
        <v>0</v>
      </c>
      <c r="M2" s="1" t="s">
        <v>1</v>
      </c>
      <c r="N2" s="2">
        <v>0.005</v>
      </c>
      <c r="P2" s="1" t="s">
        <v>2</v>
      </c>
    </row>
    <row r="3">
      <c r="A3" s="3" t="s">
        <v>3</v>
      </c>
      <c r="B3" s="3" t="s">
        <v>4</v>
      </c>
      <c r="C3" s="3" t="s">
        <v>5</v>
      </c>
      <c r="D3" s="3" t="s">
        <v>6</v>
      </c>
      <c r="E3" s="3" t="s">
        <v>7</v>
      </c>
      <c r="F3" s="3" t="s">
        <v>8</v>
      </c>
      <c r="G3" s="3" t="s">
        <v>9</v>
      </c>
      <c r="H3" s="3" t="s">
        <v>10</v>
      </c>
      <c r="I3" s="3" t="s">
        <v>11</v>
      </c>
      <c r="J3" s="3" t="s">
        <v>12</v>
      </c>
      <c r="K3" s="3" t="s">
        <v>13</v>
      </c>
      <c r="L3" s="3" t="s">
        <v>14</v>
      </c>
      <c r="M3" s="3" t="s">
        <v>15</v>
      </c>
      <c r="N3" s="3" t="s">
        <v>16</v>
      </c>
      <c r="O3" s="3" t="s">
        <v>17</v>
      </c>
      <c r="P3" s="3" t="s">
        <v>18</v>
      </c>
    </row>
    <row r="4">
      <c r="A4" s="4">
        <v>45571.0</v>
      </c>
      <c r="B4" s="3" t="s">
        <v>19</v>
      </c>
      <c r="C4" s="3" t="s">
        <v>20</v>
      </c>
      <c r="F4" s="3">
        <v>1704.0</v>
      </c>
      <c r="G4" s="3">
        <v>3.0</v>
      </c>
      <c r="H4" s="3">
        <v>14.0</v>
      </c>
      <c r="I4" s="3">
        <v>2.0</v>
      </c>
      <c r="J4" s="3">
        <v>8.0</v>
      </c>
      <c r="K4" s="3">
        <v>24.0</v>
      </c>
      <c r="L4" s="5">
        <f t="shared" ref="L4:L29" si="1">J4/K4</f>
        <v>0.3333333333</v>
      </c>
      <c r="M4" s="6">
        <f t="shared" ref="M4:M35" si="2">G4/F4</f>
        <v>0.00176056338</v>
      </c>
      <c r="N4" s="6">
        <f t="shared" ref="N4:N35" si="3">H4/F4</f>
        <v>0.008215962441</v>
      </c>
      <c r="O4" s="6">
        <f t="shared" ref="O4:O35" si="4">I4/F4</f>
        <v>0.00117370892</v>
      </c>
      <c r="P4" s="7">
        <v>0.927</v>
      </c>
    </row>
    <row r="5">
      <c r="A5" s="8">
        <v>45577.0</v>
      </c>
      <c r="B5" s="3" t="s">
        <v>21</v>
      </c>
      <c r="C5" s="3" t="s">
        <v>20</v>
      </c>
      <c r="F5" s="3">
        <v>2455.0</v>
      </c>
      <c r="G5" s="3">
        <v>12.0</v>
      </c>
      <c r="H5" s="3">
        <v>16.0</v>
      </c>
      <c r="I5" s="3">
        <v>4.0</v>
      </c>
      <c r="J5" s="3">
        <v>7.0</v>
      </c>
      <c r="K5" s="3">
        <v>23.0</v>
      </c>
      <c r="L5" s="5">
        <f t="shared" si="1"/>
        <v>0.3043478261</v>
      </c>
      <c r="M5" s="6">
        <f t="shared" si="2"/>
        <v>0.004887983707</v>
      </c>
      <c r="N5" s="6">
        <f t="shared" si="3"/>
        <v>0.006517311609</v>
      </c>
      <c r="O5" s="6">
        <f t="shared" si="4"/>
        <v>0.001629327902</v>
      </c>
      <c r="P5" s="9">
        <v>0.95</v>
      </c>
    </row>
    <row r="6">
      <c r="A6" s="8">
        <v>45580.0</v>
      </c>
      <c r="B6" s="3" t="s">
        <v>22</v>
      </c>
      <c r="C6" s="3" t="s">
        <v>20</v>
      </c>
      <c r="F6" s="3">
        <v>1659.0</v>
      </c>
      <c r="G6" s="3">
        <v>0.0</v>
      </c>
      <c r="H6" s="3">
        <v>1.0</v>
      </c>
      <c r="I6" s="3">
        <v>0.0</v>
      </c>
      <c r="J6" s="3">
        <v>8.0</v>
      </c>
      <c r="K6" s="3">
        <v>21.0</v>
      </c>
      <c r="L6" s="5">
        <f t="shared" si="1"/>
        <v>0.380952381</v>
      </c>
      <c r="M6" s="6">
        <f t="shared" si="2"/>
        <v>0</v>
      </c>
      <c r="N6" s="6">
        <f t="shared" si="3"/>
        <v>0.0006027727547</v>
      </c>
      <c r="O6" s="6">
        <f t="shared" si="4"/>
        <v>0</v>
      </c>
      <c r="P6" s="7">
        <v>0.964</v>
      </c>
    </row>
    <row r="7">
      <c r="A7" s="8">
        <v>45589.0</v>
      </c>
      <c r="B7" s="3" t="s">
        <v>23</v>
      </c>
      <c r="C7" s="3" t="s">
        <v>20</v>
      </c>
      <c r="D7" s="3" t="s">
        <v>24</v>
      </c>
      <c r="E7" s="3" t="s">
        <v>25</v>
      </c>
      <c r="F7" s="3">
        <v>1178.0</v>
      </c>
      <c r="G7" s="3">
        <v>0.0</v>
      </c>
      <c r="H7" s="3">
        <v>0.0</v>
      </c>
      <c r="I7" s="3">
        <v>0.0</v>
      </c>
      <c r="J7" s="3">
        <v>5.0</v>
      </c>
      <c r="K7" s="3">
        <v>45.0</v>
      </c>
      <c r="L7" s="5">
        <f t="shared" si="1"/>
        <v>0.1111111111</v>
      </c>
      <c r="M7" s="6">
        <f t="shared" si="2"/>
        <v>0</v>
      </c>
      <c r="N7" s="6">
        <f t="shared" si="3"/>
        <v>0</v>
      </c>
      <c r="O7" s="6">
        <f t="shared" si="4"/>
        <v>0</v>
      </c>
      <c r="P7" s="7">
        <v>0.934</v>
      </c>
    </row>
    <row r="8">
      <c r="A8" s="8">
        <v>45590.0</v>
      </c>
      <c r="B8" s="3" t="s">
        <v>26</v>
      </c>
      <c r="C8" s="3" t="s">
        <v>20</v>
      </c>
      <c r="D8" s="3" t="s">
        <v>27</v>
      </c>
      <c r="E8" s="3" t="s">
        <v>28</v>
      </c>
      <c r="F8" s="3">
        <v>1408.0</v>
      </c>
      <c r="G8" s="3">
        <v>3.0</v>
      </c>
      <c r="H8" s="3">
        <v>4.0</v>
      </c>
      <c r="I8" s="3">
        <v>0.0</v>
      </c>
      <c r="J8" s="3">
        <v>3.0</v>
      </c>
      <c r="K8" s="3">
        <v>39.0</v>
      </c>
      <c r="L8" s="5">
        <f t="shared" si="1"/>
        <v>0.07692307692</v>
      </c>
      <c r="M8" s="6">
        <f t="shared" si="2"/>
        <v>0.002130681818</v>
      </c>
      <c r="N8" s="6">
        <f t="shared" si="3"/>
        <v>0.002840909091</v>
      </c>
      <c r="O8" s="6">
        <f t="shared" si="4"/>
        <v>0</v>
      </c>
      <c r="P8" s="7">
        <v>0.943</v>
      </c>
    </row>
    <row r="9">
      <c r="A9" s="8">
        <v>45592.0</v>
      </c>
      <c r="B9" s="3" t="s">
        <v>29</v>
      </c>
      <c r="C9" s="3" t="s">
        <v>20</v>
      </c>
      <c r="F9" s="3">
        <v>635.0</v>
      </c>
      <c r="G9" s="3">
        <v>0.0</v>
      </c>
      <c r="H9" s="3">
        <v>0.0</v>
      </c>
      <c r="I9" s="3">
        <v>0.0</v>
      </c>
      <c r="J9" s="3">
        <v>4.0</v>
      </c>
      <c r="K9" s="3">
        <v>30.0</v>
      </c>
      <c r="L9" s="5">
        <f t="shared" si="1"/>
        <v>0.1333333333</v>
      </c>
      <c r="M9" s="6">
        <f t="shared" si="2"/>
        <v>0</v>
      </c>
      <c r="N9" s="6">
        <f t="shared" si="3"/>
        <v>0</v>
      </c>
      <c r="O9" s="6">
        <f t="shared" si="4"/>
        <v>0</v>
      </c>
      <c r="P9" s="7">
        <v>0.918</v>
      </c>
    </row>
    <row r="10">
      <c r="A10" s="8">
        <v>45594.0</v>
      </c>
      <c r="B10" s="3" t="s">
        <v>30</v>
      </c>
      <c r="C10" s="3" t="s">
        <v>20</v>
      </c>
      <c r="F10" s="3">
        <v>472.0</v>
      </c>
      <c r="G10" s="3">
        <v>0.0</v>
      </c>
      <c r="H10" s="3">
        <v>1.0</v>
      </c>
      <c r="I10" s="3">
        <v>0.0</v>
      </c>
      <c r="J10" s="3">
        <v>5.0</v>
      </c>
      <c r="K10" s="3">
        <v>32.0</v>
      </c>
      <c r="L10" s="5">
        <f t="shared" si="1"/>
        <v>0.15625</v>
      </c>
      <c r="M10" s="6">
        <f t="shared" si="2"/>
        <v>0</v>
      </c>
      <c r="N10" s="6">
        <f t="shared" si="3"/>
        <v>0.002118644068</v>
      </c>
      <c r="O10" s="6">
        <f t="shared" si="4"/>
        <v>0</v>
      </c>
      <c r="P10" s="7">
        <v>0.864</v>
      </c>
    </row>
    <row r="11">
      <c r="A11" s="8">
        <v>45595.0</v>
      </c>
      <c r="B11" s="3" t="s">
        <v>31</v>
      </c>
      <c r="C11" s="3" t="s">
        <v>20</v>
      </c>
      <c r="F11" s="3">
        <v>244.0</v>
      </c>
      <c r="G11" s="3">
        <v>0.0</v>
      </c>
      <c r="H11" s="3">
        <v>0.0</v>
      </c>
      <c r="I11" s="3">
        <v>2.0</v>
      </c>
      <c r="J11" s="3">
        <v>5.0</v>
      </c>
      <c r="K11" s="3">
        <v>30.0</v>
      </c>
      <c r="L11" s="5">
        <f t="shared" si="1"/>
        <v>0.1666666667</v>
      </c>
      <c r="M11" s="6">
        <f t="shared" si="2"/>
        <v>0</v>
      </c>
      <c r="N11" s="6">
        <f t="shared" si="3"/>
        <v>0</v>
      </c>
      <c r="O11" s="6">
        <f t="shared" si="4"/>
        <v>0.008196721311</v>
      </c>
      <c r="P11" s="7">
        <v>0.825</v>
      </c>
    </row>
    <row r="12">
      <c r="A12" s="8">
        <v>45595.0</v>
      </c>
      <c r="B12" s="3" t="s">
        <v>32</v>
      </c>
      <c r="C12" s="3" t="s">
        <v>20</v>
      </c>
      <c r="E12" s="3"/>
      <c r="F12" s="3">
        <v>272.0</v>
      </c>
      <c r="G12" s="3">
        <v>0.0</v>
      </c>
      <c r="H12" s="3">
        <v>2.0</v>
      </c>
      <c r="I12" s="3">
        <v>0.0</v>
      </c>
      <c r="J12" s="3">
        <v>4.0</v>
      </c>
      <c r="K12" s="3">
        <v>26.0</v>
      </c>
      <c r="L12" s="5">
        <f t="shared" si="1"/>
        <v>0.1538461538</v>
      </c>
      <c r="M12" s="6">
        <f t="shared" si="2"/>
        <v>0</v>
      </c>
      <c r="N12" s="6">
        <f t="shared" si="3"/>
        <v>0.007352941176</v>
      </c>
      <c r="O12" s="6">
        <f t="shared" si="4"/>
        <v>0</v>
      </c>
      <c r="P12" s="7">
        <v>0.841</v>
      </c>
    </row>
    <row r="13">
      <c r="A13" s="8">
        <v>45596.0</v>
      </c>
      <c r="B13" s="3" t="s">
        <v>33</v>
      </c>
      <c r="C13" s="3" t="s">
        <v>20</v>
      </c>
      <c r="F13" s="3">
        <v>356.0</v>
      </c>
      <c r="G13" s="3">
        <v>0.0</v>
      </c>
      <c r="H13" s="3">
        <v>1.0</v>
      </c>
      <c r="I13" s="3">
        <v>0.0</v>
      </c>
      <c r="J13" s="3">
        <v>4.0</v>
      </c>
      <c r="K13" s="3">
        <v>38.0</v>
      </c>
      <c r="L13" s="5">
        <f t="shared" si="1"/>
        <v>0.1052631579</v>
      </c>
      <c r="M13" s="6">
        <f t="shared" si="2"/>
        <v>0</v>
      </c>
      <c r="N13" s="6">
        <f t="shared" si="3"/>
        <v>0.002808988764</v>
      </c>
      <c r="O13" s="6">
        <f t="shared" si="4"/>
        <v>0</v>
      </c>
      <c r="P13" s="9">
        <v>0.81</v>
      </c>
    </row>
    <row r="14">
      <c r="A14" s="8">
        <v>45597.0</v>
      </c>
      <c r="B14" s="3" t="s">
        <v>34</v>
      </c>
      <c r="C14" s="3" t="s">
        <v>20</v>
      </c>
      <c r="F14" s="3">
        <v>296.0</v>
      </c>
      <c r="G14" s="3">
        <v>0.0</v>
      </c>
      <c r="H14" s="3">
        <v>1.0</v>
      </c>
      <c r="I14" s="3">
        <v>0.0</v>
      </c>
      <c r="J14" s="3">
        <v>4.0</v>
      </c>
      <c r="K14" s="3">
        <v>29.0</v>
      </c>
      <c r="L14" s="5">
        <f t="shared" si="1"/>
        <v>0.1379310345</v>
      </c>
      <c r="M14" s="6">
        <f t="shared" si="2"/>
        <v>0</v>
      </c>
      <c r="N14" s="6">
        <f t="shared" si="3"/>
        <v>0.003378378378</v>
      </c>
      <c r="O14" s="6">
        <f t="shared" si="4"/>
        <v>0</v>
      </c>
      <c r="P14" s="7">
        <v>0.783</v>
      </c>
    </row>
    <row r="15">
      <c r="A15" s="8">
        <v>45598.0</v>
      </c>
      <c r="B15" s="3" t="s">
        <v>35</v>
      </c>
      <c r="C15" s="3" t="s">
        <v>20</v>
      </c>
      <c r="F15" s="3">
        <v>437.0</v>
      </c>
      <c r="G15" s="3">
        <v>0.0</v>
      </c>
      <c r="H15" s="3">
        <v>0.0</v>
      </c>
      <c r="I15" s="3">
        <v>0.0</v>
      </c>
      <c r="J15" s="3">
        <v>6.0</v>
      </c>
      <c r="K15" s="3">
        <v>15.0</v>
      </c>
      <c r="L15" s="5">
        <f t="shared" si="1"/>
        <v>0.4</v>
      </c>
      <c r="M15" s="6">
        <f t="shared" si="2"/>
        <v>0</v>
      </c>
      <c r="N15" s="6">
        <f t="shared" si="3"/>
        <v>0</v>
      </c>
      <c r="O15" s="6">
        <f t="shared" si="4"/>
        <v>0</v>
      </c>
      <c r="P15" s="7">
        <v>0.872</v>
      </c>
    </row>
    <row r="16">
      <c r="A16" s="8">
        <v>45600.0</v>
      </c>
      <c r="B16" s="3" t="s">
        <v>36</v>
      </c>
      <c r="C16" s="3" t="s">
        <v>20</v>
      </c>
      <c r="E16" s="3"/>
      <c r="F16" s="3">
        <v>668.0</v>
      </c>
      <c r="G16" s="3">
        <v>0.0</v>
      </c>
      <c r="H16" s="3">
        <v>0.0</v>
      </c>
      <c r="I16" s="3">
        <v>0.0</v>
      </c>
      <c r="J16" s="3">
        <v>4.0</v>
      </c>
      <c r="K16" s="3">
        <v>34.0</v>
      </c>
      <c r="L16" s="5">
        <f t="shared" si="1"/>
        <v>0.1176470588</v>
      </c>
      <c r="M16" s="6">
        <f t="shared" si="2"/>
        <v>0</v>
      </c>
      <c r="N16" s="6">
        <f t="shared" si="3"/>
        <v>0</v>
      </c>
      <c r="O16" s="6">
        <f t="shared" si="4"/>
        <v>0</v>
      </c>
      <c r="P16" s="7">
        <v>0.929</v>
      </c>
    </row>
    <row r="17">
      <c r="A17" s="8">
        <v>45602.0</v>
      </c>
      <c r="B17" s="3" t="s">
        <v>37</v>
      </c>
      <c r="C17" s="3" t="s">
        <v>20</v>
      </c>
      <c r="F17" s="3">
        <v>547.0</v>
      </c>
      <c r="G17" s="3">
        <v>0.0</v>
      </c>
      <c r="H17" s="3">
        <v>3.0</v>
      </c>
      <c r="I17" s="3">
        <v>0.0</v>
      </c>
      <c r="J17" s="3">
        <v>7.0</v>
      </c>
      <c r="K17" s="3">
        <v>40.0</v>
      </c>
      <c r="L17" s="5">
        <f t="shared" si="1"/>
        <v>0.175</v>
      </c>
      <c r="M17" s="6">
        <f t="shared" si="2"/>
        <v>0</v>
      </c>
      <c r="N17" s="6">
        <f t="shared" si="3"/>
        <v>0.005484460695</v>
      </c>
      <c r="O17" s="6">
        <f t="shared" si="4"/>
        <v>0</v>
      </c>
      <c r="P17" s="7">
        <v>0.832</v>
      </c>
    </row>
    <row r="18">
      <c r="A18" s="8">
        <v>45603.0</v>
      </c>
      <c r="B18" s="3" t="s">
        <v>38</v>
      </c>
      <c r="C18" s="3" t="s">
        <v>20</v>
      </c>
      <c r="F18" s="3">
        <v>552.0</v>
      </c>
      <c r="G18" s="3">
        <v>1.0</v>
      </c>
      <c r="H18" s="3">
        <v>0.0</v>
      </c>
      <c r="I18" s="3">
        <v>0.0</v>
      </c>
      <c r="J18" s="3">
        <v>3.0</v>
      </c>
      <c r="K18" s="3">
        <v>36.0</v>
      </c>
      <c r="L18" s="5">
        <f t="shared" si="1"/>
        <v>0.08333333333</v>
      </c>
      <c r="M18" s="6">
        <f t="shared" si="2"/>
        <v>0.001811594203</v>
      </c>
      <c r="N18" s="6">
        <f t="shared" si="3"/>
        <v>0</v>
      </c>
      <c r="O18" s="6">
        <f t="shared" si="4"/>
        <v>0</v>
      </c>
      <c r="P18" s="7">
        <v>0.818</v>
      </c>
    </row>
    <row r="19">
      <c r="A19" s="8">
        <v>45604.0</v>
      </c>
      <c r="B19" s="3" t="s">
        <v>39</v>
      </c>
      <c r="C19" s="3" t="s">
        <v>20</v>
      </c>
      <c r="D19" s="3" t="s">
        <v>40</v>
      </c>
      <c r="E19" s="3" t="s">
        <v>41</v>
      </c>
      <c r="F19" s="3">
        <v>1965.0</v>
      </c>
      <c r="G19" s="3">
        <v>1.0</v>
      </c>
      <c r="H19" s="3">
        <v>1.0</v>
      </c>
      <c r="I19" s="3">
        <v>3.0</v>
      </c>
      <c r="J19" s="3">
        <v>6.0</v>
      </c>
      <c r="K19" s="3">
        <v>41.0</v>
      </c>
      <c r="L19" s="5">
        <f t="shared" si="1"/>
        <v>0.1463414634</v>
      </c>
      <c r="M19" s="6">
        <f t="shared" si="2"/>
        <v>0.0005089058524</v>
      </c>
      <c r="N19" s="6">
        <f t="shared" si="3"/>
        <v>0.0005089058524</v>
      </c>
      <c r="O19" s="6">
        <f t="shared" si="4"/>
        <v>0.001526717557</v>
      </c>
      <c r="P19" s="7">
        <v>0.962</v>
      </c>
    </row>
    <row r="20">
      <c r="A20" s="8">
        <v>45605.0</v>
      </c>
      <c r="B20" s="3" t="s">
        <v>42</v>
      </c>
      <c r="C20" s="3" t="s">
        <v>20</v>
      </c>
      <c r="E20" s="3"/>
      <c r="F20" s="3">
        <v>686.0</v>
      </c>
      <c r="G20" s="3">
        <v>0.0</v>
      </c>
      <c r="H20" s="3">
        <v>3.0</v>
      </c>
      <c r="I20" s="3">
        <v>1.0</v>
      </c>
      <c r="J20" s="3">
        <v>8.0</v>
      </c>
      <c r="K20" s="3">
        <v>35.0</v>
      </c>
      <c r="L20" s="5">
        <f t="shared" si="1"/>
        <v>0.2285714286</v>
      </c>
      <c r="M20" s="6">
        <f t="shared" si="2"/>
        <v>0</v>
      </c>
      <c r="N20" s="6">
        <f t="shared" si="3"/>
        <v>0.004373177843</v>
      </c>
      <c r="O20" s="6">
        <f t="shared" si="4"/>
        <v>0.001457725948</v>
      </c>
      <c r="P20" s="7">
        <v>0.898</v>
      </c>
    </row>
    <row r="21">
      <c r="A21" s="8">
        <v>45609.0</v>
      </c>
      <c r="B21" s="3" t="s">
        <v>43</v>
      </c>
      <c r="C21" s="3" t="s">
        <v>20</v>
      </c>
      <c r="F21" s="3">
        <v>622.0</v>
      </c>
      <c r="G21" s="3">
        <v>0.0</v>
      </c>
      <c r="H21" s="3">
        <v>4.0</v>
      </c>
      <c r="I21" s="3">
        <v>0.0</v>
      </c>
      <c r="J21" s="3">
        <v>5.0</v>
      </c>
      <c r="K21" s="3">
        <v>52.0</v>
      </c>
      <c r="L21" s="5">
        <f t="shared" si="1"/>
        <v>0.09615384615</v>
      </c>
      <c r="M21" s="6">
        <f t="shared" si="2"/>
        <v>0</v>
      </c>
      <c r="N21" s="6">
        <f t="shared" si="3"/>
        <v>0.006430868167</v>
      </c>
      <c r="O21" s="6">
        <f t="shared" si="4"/>
        <v>0</v>
      </c>
      <c r="P21" s="7">
        <v>0.867</v>
      </c>
    </row>
    <row r="22">
      <c r="A22" s="8">
        <v>45610.0</v>
      </c>
      <c r="B22" s="3" t="s">
        <v>44</v>
      </c>
      <c r="C22" s="3" t="s">
        <v>20</v>
      </c>
      <c r="F22" s="3">
        <v>273.0</v>
      </c>
      <c r="G22" s="3">
        <v>0.0</v>
      </c>
      <c r="H22" s="3">
        <v>0.0</v>
      </c>
      <c r="I22" s="3">
        <v>0.0</v>
      </c>
      <c r="J22" s="3">
        <v>8.0</v>
      </c>
      <c r="K22" s="3">
        <v>52.0</v>
      </c>
      <c r="L22" s="5">
        <f t="shared" si="1"/>
        <v>0.1538461538</v>
      </c>
      <c r="M22" s="6">
        <f t="shared" si="2"/>
        <v>0</v>
      </c>
      <c r="N22" s="6">
        <f t="shared" si="3"/>
        <v>0</v>
      </c>
      <c r="O22" s="6">
        <f t="shared" si="4"/>
        <v>0</v>
      </c>
      <c r="P22" s="7">
        <v>0.867</v>
      </c>
    </row>
    <row r="23">
      <c r="A23" s="8">
        <v>45613.0</v>
      </c>
      <c r="B23" s="3" t="s">
        <v>45</v>
      </c>
      <c r="C23" s="3" t="s">
        <v>20</v>
      </c>
      <c r="D23" s="3" t="s">
        <v>46</v>
      </c>
      <c r="E23" s="3" t="s">
        <v>47</v>
      </c>
      <c r="F23" s="3">
        <v>1659.0</v>
      </c>
      <c r="G23" s="3">
        <v>1.0</v>
      </c>
      <c r="H23" s="3">
        <v>5.0</v>
      </c>
      <c r="I23" s="3">
        <v>2.0</v>
      </c>
      <c r="J23" s="3">
        <v>4.0</v>
      </c>
      <c r="K23" s="3">
        <v>43.0</v>
      </c>
      <c r="L23" s="5">
        <f t="shared" si="1"/>
        <v>0.09302325581</v>
      </c>
      <c r="M23" s="6">
        <f t="shared" si="2"/>
        <v>0.0006027727547</v>
      </c>
      <c r="N23" s="6">
        <f t="shared" si="3"/>
        <v>0.003013863773</v>
      </c>
      <c r="O23" s="6">
        <f t="shared" si="4"/>
        <v>0.001205545509</v>
      </c>
      <c r="P23" s="7">
        <v>0.978</v>
      </c>
    </row>
    <row r="24">
      <c r="A24" s="8">
        <v>45617.0</v>
      </c>
      <c r="B24" s="3" t="s">
        <v>48</v>
      </c>
      <c r="C24" s="3" t="s">
        <v>20</v>
      </c>
      <c r="F24" s="3">
        <v>279.0</v>
      </c>
      <c r="G24" s="3">
        <v>0.0</v>
      </c>
      <c r="H24" s="3">
        <v>0.0</v>
      </c>
      <c r="I24" s="3">
        <v>0.0</v>
      </c>
      <c r="J24" s="3">
        <v>5.0</v>
      </c>
      <c r="K24" s="3">
        <v>47.0</v>
      </c>
      <c r="L24" s="5">
        <f t="shared" si="1"/>
        <v>0.1063829787</v>
      </c>
      <c r="M24" s="6">
        <f t="shared" si="2"/>
        <v>0</v>
      </c>
      <c r="N24" s="6">
        <f t="shared" si="3"/>
        <v>0</v>
      </c>
      <c r="O24" s="6">
        <f t="shared" si="4"/>
        <v>0</v>
      </c>
      <c r="P24" s="7">
        <v>0.777</v>
      </c>
    </row>
    <row r="25">
      <c r="A25" s="8">
        <v>45618.0</v>
      </c>
      <c r="B25" s="3" t="s">
        <v>49</v>
      </c>
      <c r="C25" s="3" t="s">
        <v>20</v>
      </c>
      <c r="F25" s="3">
        <v>304.0</v>
      </c>
      <c r="G25" s="3">
        <v>0.0</v>
      </c>
      <c r="H25" s="3">
        <v>1.0</v>
      </c>
      <c r="I25" s="3">
        <v>1.0</v>
      </c>
      <c r="J25" s="3">
        <v>5.0</v>
      </c>
      <c r="K25" s="3">
        <v>40.0</v>
      </c>
      <c r="L25" s="5">
        <f t="shared" si="1"/>
        <v>0.125</v>
      </c>
      <c r="M25" s="6">
        <f t="shared" si="2"/>
        <v>0</v>
      </c>
      <c r="N25" s="6">
        <f t="shared" si="3"/>
        <v>0.003289473684</v>
      </c>
      <c r="O25" s="6">
        <f t="shared" si="4"/>
        <v>0.003289473684</v>
      </c>
      <c r="P25" s="7">
        <v>0.713</v>
      </c>
    </row>
    <row r="26">
      <c r="A26" s="8">
        <v>45620.0</v>
      </c>
      <c r="B26" s="3" t="s">
        <v>50</v>
      </c>
      <c r="C26" s="3" t="s">
        <v>20</v>
      </c>
      <c r="F26" s="3">
        <v>375.0</v>
      </c>
      <c r="G26" s="3">
        <v>1.0</v>
      </c>
      <c r="H26" s="3">
        <v>0.0</v>
      </c>
      <c r="I26" s="3">
        <v>1.0</v>
      </c>
      <c r="J26" s="3">
        <v>3.0</v>
      </c>
      <c r="K26" s="3">
        <v>37.0</v>
      </c>
      <c r="L26" s="5">
        <f t="shared" si="1"/>
        <v>0.08108108108</v>
      </c>
      <c r="M26" s="6">
        <f t="shared" si="2"/>
        <v>0.002666666667</v>
      </c>
      <c r="N26" s="6">
        <f t="shared" si="3"/>
        <v>0</v>
      </c>
      <c r="O26" s="6">
        <f t="shared" si="4"/>
        <v>0.002666666667</v>
      </c>
      <c r="P26" s="9">
        <v>0.77</v>
      </c>
    </row>
    <row r="27">
      <c r="A27" s="8">
        <v>45621.0</v>
      </c>
      <c r="B27" s="3" t="s">
        <v>51</v>
      </c>
      <c r="C27" s="3" t="s">
        <v>20</v>
      </c>
      <c r="F27" s="3">
        <v>230.0</v>
      </c>
      <c r="G27" s="3">
        <v>0.0</v>
      </c>
      <c r="H27" s="3">
        <v>0.0</v>
      </c>
      <c r="I27" s="3">
        <v>0.0</v>
      </c>
      <c r="J27" s="3">
        <v>4.0</v>
      </c>
      <c r="K27" s="3">
        <v>30.0</v>
      </c>
      <c r="L27" s="5">
        <f t="shared" si="1"/>
        <v>0.1333333333</v>
      </c>
      <c r="M27" s="6">
        <f t="shared" si="2"/>
        <v>0</v>
      </c>
      <c r="N27" s="6">
        <f t="shared" si="3"/>
        <v>0</v>
      </c>
      <c r="O27" s="6">
        <f t="shared" si="4"/>
        <v>0</v>
      </c>
      <c r="P27" s="7">
        <v>0.768</v>
      </c>
    </row>
    <row r="28">
      <c r="A28" s="8">
        <v>45622.0</v>
      </c>
      <c r="B28" s="3" t="s">
        <v>52</v>
      </c>
      <c r="C28" s="3" t="s">
        <v>20</v>
      </c>
      <c r="D28" s="3" t="s">
        <v>53</v>
      </c>
      <c r="E28" s="3" t="s">
        <v>54</v>
      </c>
      <c r="F28" s="3">
        <v>1496.0</v>
      </c>
      <c r="G28" s="3">
        <v>6.0</v>
      </c>
      <c r="H28" s="3">
        <v>11.0</v>
      </c>
      <c r="I28" s="3">
        <v>3.0</v>
      </c>
      <c r="J28" s="3">
        <v>9.0</v>
      </c>
      <c r="K28" s="3">
        <v>27.0</v>
      </c>
      <c r="L28" s="5">
        <f t="shared" si="1"/>
        <v>0.3333333333</v>
      </c>
      <c r="M28" s="6">
        <f t="shared" si="2"/>
        <v>0.004010695187</v>
      </c>
      <c r="N28" s="6">
        <f t="shared" si="3"/>
        <v>0.007352941176</v>
      </c>
      <c r="O28" s="6">
        <f t="shared" si="4"/>
        <v>0.002005347594</v>
      </c>
      <c r="P28" s="7">
        <v>0.955</v>
      </c>
    </row>
    <row r="29">
      <c r="A29" s="8">
        <v>45623.0</v>
      </c>
      <c r="B29" s="3" t="s">
        <v>55</v>
      </c>
      <c r="C29" s="3" t="s">
        <v>20</v>
      </c>
      <c r="F29" s="3">
        <v>227.0</v>
      </c>
      <c r="G29" s="3">
        <v>0.0</v>
      </c>
      <c r="H29" s="3">
        <v>3.0</v>
      </c>
      <c r="I29" s="3">
        <v>0.0</v>
      </c>
      <c r="J29" s="3">
        <v>7.0</v>
      </c>
      <c r="K29" s="3">
        <v>37.0</v>
      </c>
      <c r="L29" s="5">
        <f t="shared" si="1"/>
        <v>0.1891891892</v>
      </c>
      <c r="M29" s="6">
        <f t="shared" si="2"/>
        <v>0</v>
      </c>
      <c r="N29" s="6">
        <f t="shared" si="3"/>
        <v>0.01321585903</v>
      </c>
      <c r="O29" s="6">
        <f t="shared" si="4"/>
        <v>0</v>
      </c>
      <c r="P29" s="9">
        <v>0.68</v>
      </c>
    </row>
    <row r="30">
      <c r="A30" s="8">
        <v>45624.0</v>
      </c>
      <c r="B30" s="3" t="s">
        <v>56</v>
      </c>
      <c r="C30" s="3" t="s">
        <v>57</v>
      </c>
      <c r="F30" s="3">
        <v>1188.0</v>
      </c>
      <c r="G30" s="3">
        <v>1.0</v>
      </c>
      <c r="H30" s="3">
        <v>1.0</v>
      </c>
      <c r="I30" s="3">
        <v>0.0</v>
      </c>
      <c r="J30" s="3" t="s">
        <v>58</v>
      </c>
      <c r="K30" s="3">
        <v>9.0</v>
      </c>
      <c r="L30" s="3" t="s">
        <v>58</v>
      </c>
      <c r="M30" s="6">
        <f t="shared" si="2"/>
        <v>0.0008417508418</v>
      </c>
      <c r="N30" s="6">
        <f t="shared" si="3"/>
        <v>0.0008417508418</v>
      </c>
      <c r="O30" s="6">
        <f t="shared" si="4"/>
        <v>0</v>
      </c>
      <c r="P30" s="3" t="s">
        <v>58</v>
      </c>
    </row>
    <row r="31">
      <c r="A31" s="8">
        <v>45625.0</v>
      </c>
      <c r="B31" s="3" t="s">
        <v>59</v>
      </c>
      <c r="C31" s="3" t="s">
        <v>57</v>
      </c>
      <c r="F31" s="3">
        <v>261.0</v>
      </c>
      <c r="G31" s="3">
        <v>2.0</v>
      </c>
      <c r="H31" s="3">
        <v>0.0</v>
      </c>
      <c r="I31" s="3">
        <v>0.0</v>
      </c>
      <c r="J31" s="3">
        <v>4.0</v>
      </c>
      <c r="K31" s="3">
        <v>8.0</v>
      </c>
      <c r="L31" s="5">
        <f t="shared" ref="L31:L35" si="5">J31/K31</f>
        <v>0.5</v>
      </c>
      <c r="M31" s="6">
        <f t="shared" si="2"/>
        <v>0.007662835249</v>
      </c>
      <c r="N31" s="6">
        <f t="shared" si="3"/>
        <v>0</v>
      </c>
      <c r="O31" s="6">
        <f t="shared" si="4"/>
        <v>0</v>
      </c>
      <c r="P31" s="9">
        <v>0.95</v>
      </c>
    </row>
    <row r="32">
      <c r="A32" s="8">
        <v>45626.0</v>
      </c>
      <c r="B32" s="3" t="s">
        <v>60</v>
      </c>
      <c r="C32" s="3" t="s">
        <v>20</v>
      </c>
      <c r="F32" s="3">
        <v>246.0</v>
      </c>
      <c r="G32" s="3">
        <v>1.0</v>
      </c>
      <c r="H32" s="3">
        <v>1.0</v>
      </c>
      <c r="I32" s="3">
        <v>0.0</v>
      </c>
      <c r="J32" s="3">
        <v>4.0</v>
      </c>
      <c r="K32" s="3">
        <v>9.0</v>
      </c>
      <c r="L32" s="5">
        <f t="shared" si="5"/>
        <v>0.4444444444</v>
      </c>
      <c r="M32" s="6">
        <f t="shared" si="2"/>
        <v>0.00406504065</v>
      </c>
      <c r="N32" s="6">
        <f t="shared" si="3"/>
        <v>0.00406504065</v>
      </c>
      <c r="O32" s="6">
        <f t="shared" si="4"/>
        <v>0</v>
      </c>
      <c r="P32" s="7">
        <v>0.901</v>
      </c>
    </row>
    <row r="33">
      <c r="A33" s="4">
        <v>45628.0</v>
      </c>
      <c r="B33" s="3" t="s">
        <v>61</v>
      </c>
      <c r="C33" s="3" t="s">
        <v>20</v>
      </c>
      <c r="F33" s="3">
        <v>198.0</v>
      </c>
      <c r="G33" s="3">
        <v>0.0</v>
      </c>
      <c r="H33" s="3">
        <v>0.0</v>
      </c>
      <c r="I33" s="3">
        <v>1.0</v>
      </c>
      <c r="J33" s="3">
        <v>7.0</v>
      </c>
      <c r="K33" s="3">
        <v>32.0</v>
      </c>
      <c r="L33" s="5">
        <f t="shared" si="5"/>
        <v>0.21875</v>
      </c>
      <c r="M33" s="6">
        <f t="shared" si="2"/>
        <v>0</v>
      </c>
      <c r="N33" s="6">
        <f t="shared" si="3"/>
        <v>0</v>
      </c>
      <c r="O33" s="6">
        <f t="shared" si="4"/>
        <v>0.005050505051</v>
      </c>
      <c r="P33" s="7">
        <v>0.831</v>
      </c>
    </row>
    <row r="34">
      <c r="A34" s="4">
        <v>45628.0</v>
      </c>
      <c r="B34" s="3" t="s">
        <v>62</v>
      </c>
      <c r="C34" s="3" t="s">
        <v>20</v>
      </c>
      <c r="F34" s="3">
        <v>1948.0</v>
      </c>
      <c r="G34" s="3">
        <v>0.0</v>
      </c>
      <c r="H34" s="3">
        <v>6.0</v>
      </c>
      <c r="I34" s="3">
        <v>5.0</v>
      </c>
      <c r="J34" s="3">
        <v>6.0</v>
      </c>
      <c r="K34" s="3">
        <v>12.0</v>
      </c>
      <c r="L34" s="5">
        <f t="shared" si="5"/>
        <v>0.5</v>
      </c>
      <c r="M34" s="6">
        <f t="shared" si="2"/>
        <v>0</v>
      </c>
      <c r="N34" s="6">
        <f t="shared" si="3"/>
        <v>0.003080082136</v>
      </c>
      <c r="O34" s="6">
        <f t="shared" si="4"/>
        <v>0.002566735113</v>
      </c>
      <c r="P34" s="7">
        <v>0.988</v>
      </c>
    </row>
    <row r="35">
      <c r="A35" s="4">
        <v>45629.0</v>
      </c>
      <c r="B35" s="3" t="s">
        <v>63</v>
      </c>
      <c r="C35" s="3" t="s">
        <v>20</v>
      </c>
      <c r="F35" s="3">
        <v>430.0</v>
      </c>
      <c r="G35" s="3">
        <v>0.0</v>
      </c>
      <c r="H35" s="3">
        <v>4.0</v>
      </c>
      <c r="I35" s="3">
        <v>0.0</v>
      </c>
      <c r="J35" s="3">
        <v>4.0</v>
      </c>
      <c r="K35" s="3">
        <v>14.0</v>
      </c>
      <c r="L35" s="5">
        <f t="shared" si="5"/>
        <v>0.2857142857</v>
      </c>
      <c r="M35" s="6">
        <f t="shared" si="2"/>
        <v>0</v>
      </c>
      <c r="N35" s="6">
        <f t="shared" si="3"/>
        <v>0.009302325581</v>
      </c>
      <c r="O35" s="6">
        <f t="shared" si="4"/>
        <v>0</v>
      </c>
      <c r="P35" s="7">
        <v>0.811</v>
      </c>
    </row>
    <row r="36">
      <c r="D36" s="3"/>
    </row>
    <row r="38">
      <c r="D38" s="3"/>
    </row>
    <row r="40">
      <c r="D40" s="3"/>
    </row>
    <row r="41">
      <c r="E41" s="3"/>
    </row>
    <row r="43">
      <c r="D43" s="3"/>
      <c r="E43" s="3"/>
    </row>
    <row r="44">
      <c r="D44" s="3"/>
      <c r="F44" s="3"/>
    </row>
    <row r="45">
      <c r="E45" s="3"/>
    </row>
    <row r="46">
      <c r="F46" s="3"/>
    </row>
    <row r="47">
      <c r="E47" s="3"/>
    </row>
    <row r="48">
      <c r="D48" s="3"/>
      <c r="F48"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M2" s="1" t="s">
        <v>0</v>
      </c>
      <c r="N2" s="1" t="s">
        <v>64</v>
      </c>
      <c r="O2" s="1" t="s">
        <v>1</v>
      </c>
      <c r="P2" s="2">
        <v>0.005</v>
      </c>
      <c r="Q2" s="1" t="s">
        <v>65</v>
      </c>
    </row>
    <row r="3">
      <c r="A3" s="3" t="s">
        <v>3</v>
      </c>
      <c r="B3" s="3" t="s">
        <v>4</v>
      </c>
      <c r="C3" s="3" t="s">
        <v>5</v>
      </c>
      <c r="D3" s="3" t="s">
        <v>6</v>
      </c>
      <c r="E3" s="3" t="s">
        <v>7</v>
      </c>
      <c r="F3" s="3" t="s">
        <v>8</v>
      </c>
      <c r="G3" s="3" t="s">
        <v>66</v>
      </c>
      <c r="H3" s="3" t="s">
        <v>9</v>
      </c>
      <c r="I3" s="3" t="s">
        <v>10</v>
      </c>
      <c r="J3" s="3" t="s">
        <v>11</v>
      </c>
      <c r="K3" s="3" t="s">
        <v>12</v>
      </c>
      <c r="L3" s="3" t="s">
        <v>13</v>
      </c>
      <c r="M3" s="3" t="s">
        <v>14</v>
      </c>
      <c r="N3" s="3" t="s">
        <v>67</v>
      </c>
      <c r="O3" s="3" t="s">
        <v>15</v>
      </c>
      <c r="P3" s="3" t="s">
        <v>16</v>
      </c>
      <c r="Q3" s="3" t="s">
        <v>68</v>
      </c>
    </row>
    <row r="4">
      <c r="A4" s="4">
        <v>45562.0</v>
      </c>
      <c r="B4" s="3" t="s">
        <v>69</v>
      </c>
      <c r="C4" s="3" t="s">
        <v>57</v>
      </c>
      <c r="F4" s="3">
        <v>3544.0</v>
      </c>
      <c r="G4" s="3">
        <v>352.0</v>
      </c>
      <c r="H4" s="3">
        <v>10.0</v>
      </c>
      <c r="I4" s="3">
        <v>46.0</v>
      </c>
      <c r="J4" s="3">
        <v>15.0</v>
      </c>
      <c r="K4" s="3">
        <v>4.5</v>
      </c>
      <c r="L4" s="3">
        <v>6.76</v>
      </c>
      <c r="M4" s="5">
        <f t="shared" ref="M4:M36" si="1">K4/L4</f>
        <v>0.6656804734</v>
      </c>
      <c r="N4" s="6">
        <f t="shared" ref="N4:N36" si="2">G4/F4</f>
        <v>0.0993227991</v>
      </c>
      <c r="O4" s="6">
        <f t="shared" ref="O4:O36" si="3">H4/F4</f>
        <v>0.002821670429</v>
      </c>
      <c r="P4" s="6">
        <f t="shared" ref="P4:P36" si="4">I4/F4</f>
        <v>0.01297968397</v>
      </c>
      <c r="Q4" s="9">
        <v>0.87</v>
      </c>
    </row>
    <row r="5">
      <c r="A5" s="4">
        <v>45566.0</v>
      </c>
      <c r="B5" s="3" t="s">
        <v>70</v>
      </c>
      <c r="C5" s="3" t="s">
        <v>57</v>
      </c>
      <c r="F5" s="3">
        <v>2145.0</v>
      </c>
      <c r="G5" s="3">
        <v>143.0</v>
      </c>
      <c r="H5" s="3">
        <v>7.0</v>
      </c>
      <c r="I5" s="3">
        <v>28.0</v>
      </c>
      <c r="J5" s="3">
        <v>14.0</v>
      </c>
      <c r="K5" s="3">
        <v>9.5</v>
      </c>
      <c r="L5" s="3">
        <v>33.98</v>
      </c>
      <c r="M5" s="5">
        <f t="shared" si="1"/>
        <v>0.2795762213</v>
      </c>
      <c r="N5" s="6">
        <f t="shared" si="2"/>
        <v>0.06666666667</v>
      </c>
      <c r="O5" s="6">
        <f t="shared" si="3"/>
        <v>0.003263403263</v>
      </c>
      <c r="P5" s="6">
        <f t="shared" si="4"/>
        <v>0.01305361305</v>
      </c>
      <c r="Q5" s="9">
        <v>0.84</v>
      </c>
    </row>
    <row r="6">
      <c r="A6" s="4">
        <v>45571.0</v>
      </c>
      <c r="B6" s="3" t="s">
        <v>19</v>
      </c>
      <c r="C6" s="3" t="s">
        <v>57</v>
      </c>
      <c r="F6" s="3">
        <v>9365.0</v>
      </c>
      <c r="G6" s="3">
        <v>1185.0</v>
      </c>
      <c r="H6" s="3">
        <v>69.0</v>
      </c>
      <c r="I6" s="3">
        <v>266.0</v>
      </c>
      <c r="J6" s="3">
        <v>72.0</v>
      </c>
      <c r="K6" s="3">
        <v>11.0</v>
      </c>
      <c r="L6" s="3">
        <v>23.04</v>
      </c>
      <c r="M6" s="5">
        <f t="shared" si="1"/>
        <v>0.4774305556</v>
      </c>
      <c r="N6" s="6">
        <f t="shared" si="2"/>
        <v>0.1265349706</v>
      </c>
      <c r="O6" s="6">
        <f t="shared" si="3"/>
        <v>0.00736785905</v>
      </c>
      <c r="P6" s="6">
        <f t="shared" si="4"/>
        <v>0.02840363054</v>
      </c>
      <c r="Q6" s="9">
        <v>0.87</v>
      </c>
    </row>
    <row r="7">
      <c r="A7" s="8">
        <v>45589.0</v>
      </c>
      <c r="B7" s="3" t="s">
        <v>23</v>
      </c>
      <c r="C7" s="3" t="s">
        <v>57</v>
      </c>
      <c r="F7" s="3">
        <v>290.0</v>
      </c>
      <c r="G7" s="3">
        <v>23.0</v>
      </c>
      <c r="H7" s="3">
        <v>0.0</v>
      </c>
      <c r="I7" s="3">
        <v>4.0</v>
      </c>
      <c r="J7" s="3">
        <v>0.0</v>
      </c>
      <c r="K7" s="3">
        <v>6.5</v>
      </c>
      <c r="L7" s="3">
        <v>44.57</v>
      </c>
      <c r="M7" s="5">
        <f t="shared" si="1"/>
        <v>0.1458380076</v>
      </c>
      <c r="N7" s="6">
        <f t="shared" si="2"/>
        <v>0.07931034483</v>
      </c>
      <c r="O7" s="6">
        <f t="shared" si="3"/>
        <v>0</v>
      </c>
      <c r="P7" s="6">
        <f t="shared" si="4"/>
        <v>0.01379310345</v>
      </c>
      <c r="Q7" s="7">
        <v>0.67</v>
      </c>
    </row>
    <row r="8">
      <c r="A8" s="8">
        <v>45590.0</v>
      </c>
      <c r="B8" s="3" t="s">
        <v>26</v>
      </c>
      <c r="C8" s="3" t="s">
        <v>57</v>
      </c>
      <c r="F8" s="3">
        <v>331.0</v>
      </c>
      <c r="G8" s="3">
        <v>35.0</v>
      </c>
      <c r="H8" s="3">
        <v>0.0</v>
      </c>
      <c r="I8" s="3">
        <v>2.0</v>
      </c>
      <c r="J8" s="3">
        <v>1.0</v>
      </c>
      <c r="K8" s="3">
        <v>7.0</v>
      </c>
      <c r="L8" s="3">
        <v>38.66</v>
      </c>
      <c r="M8" s="5">
        <f t="shared" si="1"/>
        <v>0.181065701</v>
      </c>
      <c r="N8" s="6">
        <f t="shared" si="2"/>
        <v>0.1057401813</v>
      </c>
      <c r="O8" s="6">
        <f t="shared" si="3"/>
        <v>0</v>
      </c>
      <c r="P8" s="6">
        <f t="shared" si="4"/>
        <v>0.006042296073</v>
      </c>
      <c r="Q8" s="7">
        <v>0.49</v>
      </c>
      <c r="R8" s="3" t="s">
        <v>71</v>
      </c>
    </row>
    <row r="9">
      <c r="A9" s="8">
        <v>45592.0</v>
      </c>
      <c r="B9" s="3" t="s">
        <v>29</v>
      </c>
      <c r="C9" s="3" t="s">
        <v>57</v>
      </c>
      <c r="F9" s="3">
        <v>322.0</v>
      </c>
      <c r="G9" s="3">
        <v>19.0</v>
      </c>
      <c r="H9" s="3">
        <v>0.0</v>
      </c>
      <c r="I9" s="3">
        <v>4.0</v>
      </c>
      <c r="J9" s="3">
        <v>0.0</v>
      </c>
      <c r="K9" s="3">
        <v>4.8</v>
      </c>
      <c r="L9" s="3">
        <v>29.33</v>
      </c>
      <c r="M9" s="5">
        <f t="shared" si="1"/>
        <v>0.1636549608</v>
      </c>
      <c r="N9" s="6">
        <f t="shared" si="2"/>
        <v>0.05900621118</v>
      </c>
      <c r="O9" s="6">
        <f t="shared" si="3"/>
        <v>0</v>
      </c>
      <c r="P9" s="6">
        <f t="shared" si="4"/>
        <v>0.01242236025</v>
      </c>
      <c r="Q9" s="7">
        <v>0.62</v>
      </c>
    </row>
    <row r="10">
      <c r="A10" s="8">
        <v>45594.0</v>
      </c>
      <c r="B10" s="3" t="s">
        <v>30</v>
      </c>
      <c r="C10" s="3" t="s">
        <v>20</v>
      </c>
      <c r="F10" s="3">
        <v>817.0</v>
      </c>
      <c r="G10" s="3">
        <v>32.0</v>
      </c>
      <c r="H10" s="3">
        <v>0.0</v>
      </c>
      <c r="I10" s="3">
        <v>5.0</v>
      </c>
      <c r="J10" s="3">
        <v>0.0</v>
      </c>
      <c r="K10" s="3">
        <v>6.4</v>
      </c>
      <c r="L10" s="3">
        <v>31.25</v>
      </c>
      <c r="M10" s="5">
        <f t="shared" si="1"/>
        <v>0.2048</v>
      </c>
      <c r="N10" s="6">
        <f t="shared" si="2"/>
        <v>0.03916768666</v>
      </c>
      <c r="O10" s="6">
        <f t="shared" si="3"/>
        <v>0</v>
      </c>
      <c r="P10" s="6">
        <f t="shared" si="4"/>
        <v>0.00611995104</v>
      </c>
      <c r="Q10" s="7">
        <v>0.55</v>
      </c>
    </row>
    <row r="11">
      <c r="A11" s="8">
        <v>45595.0</v>
      </c>
      <c r="B11" s="3" t="s">
        <v>31</v>
      </c>
      <c r="C11" s="3" t="s">
        <v>20</v>
      </c>
      <c r="F11" s="3">
        <v>839.0</v>
      </c>
      <c r="G11" s="3">
        <v>46.0</v>
      </c>
      <c r="H11" s="3">
        <v>1.0</v>
      </c>
      <c r="I11" s="3">
        <v>7.0</v>
      </c>
      <c r="J11" s="3">
        <v>3.0</v>
      </c>
      <c r="K11" s="3">
        <v>6.6</v>
      </c>
      <c r="L11" s="3">
        <v>29.08</v>
      </c>
      <c r="M11" s="5">
        <f t="shared" si="1"/>
        <v>0.22696011</v>
      </c>
      <c r="N11" s="6">
        <f t="shared" si="2"/>
        <v>0.05482717521</v>
      </c>
      <c r="O11" s="6">
        <f t="shared" si="3"/>
        <v>0.001191895113</v>
      </c>
      <c r="P11" s="6">
        <f t="shared" si="4"/>
        <v>0.008343265793</v>
      </c>
      <c r="Q11" s="9">
        <v>0.51</v>
      </c>
    </row>
    <row r="12">
      <c r="A12" s="8">
        <v>45595.0</v>
      </c>
      <c r="B12" s="3" t="s">
        <v>32</v>
      </c>
      <c r="C12" s="3" t="s">
        <v>57</v>
      </c>
      <c r="F12" s="3">
        <v>50.0</v>
      </c>
      <c r="G12" s="3">
        <v>6.0</v>
      </c>
      <c r="H12" s="3">
        <v>0.0</v>
      </c>
      <c r="I12" s="3">
        <v>2.0</v>
      </c>
      <c r="J12" s="3">
        <v>0.0</v>
      </c>
      <c r="K12" s="3">
        <v>5.0</v>
      </c>
      <c r="L12" s="3">
        <v>25.26</v>
      </c>
      <c r="M12" s="5">
        <f t="shared" si="1"/>
        <v>0.1979414093</v>
      </c>
      <c r="N12" s="6">
        <f t="shared" si="2"/>
        <v>0.12</v>
      </c>
      <c r="O12" s="6">
        <f t="shared" si="3"/>
        <v>0</v>
      </c>
      <c r="P12" s="6">
        <f t="shared" si="4"/>
        <v>0.04</v>
      </c>
      <c r="Q12" s="7">
        <v>0.3</v>
      </c>
    </row>
    <row r="13">
      <c r="A13" s="8">
        <v>45595.0</v>
      </c>
      <c r="B13" s="3" t="s">
        <v>32</v>
      </c>
      <c r="C13" s="3" t="s">
        <v>20</v>
      </c>
      <c r="F13" s="3">
        <v>811.0</v>
      </c>
      <c r="G13" s="3">
        <v>38.0</v>
      </c>
      <c r="H13" s="3">
        <v>0.0</v>
      </c>
      <c r="I13" s="3">
        <v>1.0</v>
      </c>
      <c r="J13" s="3">
        <v>0.0</v>
      </c>
      <c r="K13" s="3">
        <v>4.9</v>
      </c>
      <c r="L13" s="3">
        <v>25.26</v>
      </c>
      <c r="M13" s="5">
        <f t="shared" si="1"/>
        <v>0.1939825812</v>
      </c>
      <c r="N13" s="6">
        <f t="shared" si="2"/>
        <v>0.04685573366</v>
      </c>
      <c r="O13" s="6">
        <f t="shared" si="3"/>
        <v>0</v>
      </c>
      <c r="P13" s="6">
        <f t="shared" si="4"/>
        <v>0.001233045623</v>
      </c>
      <c r="Q13" s="9">
        <v>0.51</v>
      </c>
    </row>
    <row r="14">
      <c r="A14" s="8">
        <v>45596.0</v>
      </c>
      <c r="B14" s="3" t="s">
        <v>35</v>
      </c>
      <c r="C14" s="3" t="s">
        <v>20</v>
      </c>
      <c r="F14" s="3">
        <v>788.0</v>
      </c>
      <c r="G14" s="3">
        <v>34.0</v>
      </c>
      <c r="H14" s="3">
        <v>1.0</v>
      </c>
      <c r="I14" s="3">
        <v>3.0</v>
      </c>
      <c r="J14" s="3">
        <v>1.0</v>
      </c>
      <c r="K14" s="3">
        <v>5.1</v>
      </c>
      <c r="L14" s="3">
        <v>37.54</v>
      </c>
      <c r="M14" s="5">
        <f t="shared" si="1"/>
        <v>0.1358550879</v>
      </c>
      <c r="N14" s="6">
        <f t="shared" si="2"/>
        <v>0.04314720812</v>
      </c>
      <c r="O14" s="6">
        <f t="shared" si="3"/>
        <v>0.001269035533</v>
      </c>
      <c r="P14" s="6">
        <f t="shared" si="4"/>
        <v>0.003807106599</v>
      </c>
      <c r="Q14" s="9">
        <v>0.57</v>
      </c>
    </row>
    <row r="15">
      <c r="A15" s="8">
        <v>45597.0</v>
      </c>
      <c r="B15" s="3" t="s">
        <v>34</v>
      </c>
      <c r="C15" s="3" t="s">
        <v>20</v>
      </c>
      <c r="F15" s="3">
        <v>302.0</v>
      </c>
      <c r="G15" s="3">
        <v>19.0</v>
      </c>
      <c r="H15" s="3">
        <v>0.0</v>
      </c>
      <c r="I15" s="3">
        <v>1.0</v>
      </c>
      <c r="J15" s="3">
        <v>0.0</v>
      </c>
      <c r="K15" s="3">
        <v>5.5</v>
      </c>
      <c r="L15" s="3">
        <v>28.93</v>
      </c>
      <c r="M15" s="5">
        <f t="shared" si="1"/>
        <v>0.1901140684</v>
      </c>
      <c r="N15" s="6">
        <f t="shared" si="2"/>
        <v>0.06291390728</v>
      </c>
      <c r="O15" s="6">
        <f t="shared" si="3"/>
        <v>0</v>
      </c>
      <c r="P15" s="6">
        <f t="shared" si="4"/>
        <v>0.003311258278</v>
      </c>
      <c r="Q15" s="9">
        <v>0.44</v>
      </c>
    </row>
    <row r="16">
      <c r="A16" s="8">
        <v>45600.0</v>
      </c>
      <c r="B16" s="3" t="s">
        <v>36</v>
      </c>
      <c r="C16" s="3" t="s">
        <v>20</v>
      </c>
      <c r="F16" s="3">
        <v>313.0</v>
      </c>
      <c r="G16" s="3">
        <v>27.0</v>
      </c>
      <c r="H16" s="3">
        <v>0.0</v>
      </c>
      <c r="I16" s="3">
        <v>1.0</v>
      </c>
      <c r="J16" s="3">
        <v>1.0</v>
      </c>
      <c r="K16" s="3">
        <v>9.2</v>
      </c>
      <c r="L16" s="3">
        <v>33.75</v>
      </c>
      <c r="M16" s="5">
        <f t="shared" si="1"/>
        <v>0.2725925926</v>
      </c>
      <c r="N16" s="6">
        <f t="shared" si="2"/>
        <v>0.08626198083</v>
      </c>
      <c r="O16" s="6">
        <f t="shared" si="3"/>
        <v>0</v>
      </c>
      <c r="P16" s="6">
        <f t="shared" si="4"/>
        <v>0.003194888179</v>
      </c>
      <c r="Q16" s="9">
        <v>0.47</v>
      </c>
    </row>
    <row r="17">
      <c r="A17" s="8">
        <v>45602.0</v>
      </c>
      <c r="B17" s="3" t="s">
        <v>37</v>
      </c>
      <c r="C17" s="3" t="s">
        <v>20</v>
      </c>
      <c r="F17" s="3">
        <v>616.0</v>
      </c>
      <c r="G17" s="3">
        <v>37.0</v>
      </c>
      <c r="H17" s="3">
        <v>1.0</v>
      </c>
      <c r="I17" s="3">
        <v>2.0</v>
      </c>
      <c r="J17" s="3">
        <v>0.0</v>
      </c>
      <c r="K17" s="3">
        <v>10.8</v>
      </c>
      <c r="L17" s="3">
        <v>39.03</v>
      </c>
      <c r="M17" s="5">
        <f t="shared" si="1"/>
        <v>0.2767102229</v>
      </c>
      <c r="N17" s="6">
        <f t="shared" si="2"/>
        <v>0.06006493506</v>
      </c>
      <c r="O17" s="6">
        <f t="shared" si="3"/>
        <v>0.001623376623</v>
      </c>
      <c r="P17" s="6">
        <f t="shared" si="4"/>
        <v>0.003246753247</v>
      </c>
      <c r="Q17" s="9">
        <v>0.7</v>
      </c>
    </row>
    <row r="18">
      <c r="A18" s="8">
        <v>45603.0</v>
      </c>
      <c r="B18" s="3" t="s">
        <v>38</v>
      </c>
      <c r="C18" s="3" t="s">
        <v>20</v>
      </c>
      <c r="F18" s="3">
        <v>317.0</v>
      </c>
      <c r="G18" s="3">
        <v>22.0</v>
      </c>
      <c r="H18" s="3">
        <v>0.0</v>
      </c>
      <c r="I18" s="3">
        <v>3.0</v>
      </c>
      <c r="J18" s="3">
        <v>1.0</v>
      </c>
      <c r="K18" s="3">
        <v>6.0</v>
      </c>
      <c r="L18" s="3">
        <v>39.03</v>
      </c>
      <c r="M18" s="5">
        <f t="shared" si="1"/>
        <v>0.1537279016</v>
      </c>
      <c r="N18" s="6">
        <f t="shared" si="2"/>
        <v>0.06940063091</v>
      </c>
      <c r="O18" s="6">
        <f t="shared" si="3"/>
        <v>0</v>
      </c>
      <c r="P18" s="6">
        <f t="shared" si="4"/>
        <v>0.009463722397</v>
      </c>
      <c r="Q18" s="9">
        <v>0.42</v>
      </c>
    </row>
    <row r="19">
      <c r="A19" s="8">
        <v>45604.0</v>
      </c>
      <c r="B19" s="3" t="s">
        <v>39</v>
      </c>
      <c r="C19" s="3" t="s">
        <v>20</v>
      </c>
      <c r="F19" s="3">
        <v>331.0</v>
      </c>
      <c r="G19" s="3">
        <v>30.0</v>
      </c>
      <c r="H19" s="3">
        <v>0.0</v>
      </c>
      <c r="I19" s="3">
        <v>0.0</v>
      </c>
      <c r="J19" s="3">
        <v>1.0</v>
      </c>
      <c r="K19" s="3">
        <v>7.4</v>
      </c>
      <c r="L19" s="3">
        <v>40.35</v>
      </c>
      <c r="M19" s="5">
        <f t="shared" si="1"/>
        <v>0.1833952912</v>
      </c>
      <c r="N19" s="6">
        <f t="shared" si="2"/>
        <v>0.09063444109</v>
      </c>
      <c r="O19" s="6">
        <f t="shared" si="3"/>
        <v>0</v>
      </c>
      <c r="P19" s="6">
        <f t="shared" si="4"/>
        <v>0</v>
      </c>
      <c r="Q19" s="9">
        <v>0.53</v>
      </c>
    </row>
    <row r="20">
      <c r="A20" s="8">
        <v>45605.0</v>
      </c>
      <c r="B20" s="3" t="s">
        <v>42</v>
      </c>
      <c r="C20" s="3" t="s">
        <v>20</v>
      </c>
      <c r="F20" s="3">
        <v>602.0</v>
      </c>
      <c r="G20" s="3">
        <v>40.0</v>
      </c>
      <c r="H20" s="3">
        <v>0.0</v>
      </c>
      <c r="I20" s="3">
        <v>0.0</v>
      </c>
      <c r="J20" s="3">
        <v>1.0</v>
      </c>
      <c r="K20" s="3">
        <v>10.7</v>
      </c>
      <c r="L20" s="3">
        <v>34.32</v>
      </c>
      <c r="M20" s="5">
        <f t="shared" si="1"/>
        <v>0.3117715618</v>
      </c>
      <c r="N20" s="6">
        <f t="shared" si="2"/>
        <v>0.06644518272</v>
      </c>
      <c r="O20" s="6">
        <f t="shared" si="3"/>
        <v>0</v>
      </c>
      <c r="P20" s="6">
        <f t="shared" si="4"/>
        <v>0</v>
      </c>
      <c r="Q20" s="9">
        <v>0.56</v>
      </c>
    </row>
    <row r="21">
      <c r="A21" s="8">
        <v>45609.0</v>
      </c>
      <c r="B21" s="3" t="s">
        <v>43</v>
      </c>
      <c r="C21" s="3" t="s">
        <v>20</v>
      </c>
      <c r="F21" s="3">
        <v>296.0</v>
      </c>
      <c r="G21" s="3">
        <v>28.0</v>
      </c>
      <c r="H21" s="3">
        <v>0.0</v>
      </c>
      <c r="I21" s="3">
        <v>2.0</v>
      </c>
      <c r="J21" s="3">
        <v>0.0</v>
      </c>
      <c r="K21" s="3">
        <v>6.0</v>
      </c>
      <c r="L21" s="3">
        <v>51.97</v>
      </c>
      <c r="M21" s="5">
        <f t="shared" si="1"/>
        <v>0.1154512219</v>
      </c>
      <c r="N21" s="6">
        <f t="shared" si="2"/>
        <v>0.09459459459</v>
      </c>
      <c r="O21" s="6">
        <f t="shared" si="3"/>
        <v>0</v>
      </c>
      <c r="P21" s="6">
        <f t="shared" si="4"/>
        <v>0.006756756757</v>
      </c>
      <c r="Q21" s="9">
        <v>0.34</v>
      </c>
    </row>
    <row r="22">
      <c r="A22" s="8">
        <v>45610.0</v>
      </c>
      <c r="B22" s="3" t="s">
        <v>44</v>
      </c>
      <c r="C22" s="3" t="s">
        <v>20</v>
      </c>
      <c r="F22" s="3">
        <v>289.0</v>
      </c>
      <c r="G22" s="3">
        <v>13.0</v>
      </c>
      <c r="H22" s="3">
        <v>0.0</v>
      </c>
      <c r="I22" s="3">
        <v>1.0</v>
      </c>
      <c r="J22" s="3">
        <v>0.0</v>
      </c>
      <c r="K22" s="3">
        <v>6.1</v>
      </c>
      <c r="L22" s="3">
        <v>51.82</v>
      </c>
      <c r="M22" s="5">
        <f t="shared" si="1"/>
        <v>0.1177151679</v>
      </c>
      <c r="N22" s="6">
        <f t="shared" si="2"/>
        <v>0.04498269896</v>
      </c>
      <c r="O22" s="6">
        <f t="shared" si="3"/>
        <v>0</v>
      </c>
      <c r="P22" s="6">
        <f t="shared" si="4"/>
        <v>0.003460207612</v>
      </c>
      <c r="Q22" s="9">
        <v>0.59</v>
      </c>
    </row>
    <row r="23">
      <c r="A23" s="8">
        <v>45613.0</v>
      </c>
      <c r="B23" s="3" t="s">
        <v>45</v>
      </c>
      <c r="C23" s="3" t="s">
        <v>20</v>
      </c>
      <c r="F23" s="3">
        <v>366.0</v>
      </c>
      <c r="G23" s="3">
        <v>28.0</v>
      </c>
      <c r="H23" s="3">
        <v>2.0</v>
      </c>
      <c r="I23" s="3">
        <v>3.0</v>
      </c>
      <c r="J23" s="3">
        <v>1.0</v>
      </c>
      <c r="K23" s="3">
        <v>7.7</v>
      </c>
      <c r="L23" s="3">
        <v>42.21</v>
      </c>
      <c r="M23" s="5">
        <f t="shared" si="1"/>
        <v>0.1824212272</v>
      </c>
      <c r="N23" s="6">
        <f t="shared" si="2"/>
        <v>0.07650273224</v>
      </c>
      <c r="O23" s="6">
        <f t="shared" si="3"/>
        <v>0.005464480874</v>
      </c>
      <c r="P23" s="6">
        <f t="shared" si="4"/>
        <v>0.008196721311</v>
      </c>
      <c r="Q23" s="9">
        <v>0.64</v>
      </c>
    </row>
    <row r="24">
      <c r="A24" s="8">
        <v>45617.0</v>
      </c>
      <c r="B24" s="3" t="s">
        <v>48</v>
      </c>
      <c r="C24" s="3" t="s">
        <v>20</v>
      </c>
      <c r="F24" s="3">
        <v>327.0</v>
      </c>
      <c r="G24" s="3">
        <v>36.0</v>
      </c>
      <c r="H24" s="3">
        <v>0.0</v>
      </c>
      <c r="I24" s="3">
        <v>2.0</v>
      </c>
      <c r="J24" s="3">
        <v>0.0</v>
      </c>
      <c r="K24" s="3">
        <v>6.1</v>
      </c>
      <c r="L24" s="3">
        <v>46.51</v>
      </c>
      <c r="M24" s="5">
        <f t="shared" si="1"/>
        <v>0.1311545904</v>
      </c>
      <c r="N24" s="6">
        <f t="shared" si="2"/>
        <v>0.1100917431</v>
      </c>
      <c r="O24" s="6">
        <f t="shared" si="3"/>
        <v>0</v>
      </c>
      <c r="P24" s="6">
        <f t="shared" si="4"/>
        <v>0.006116207951</v>
      </c>
      <c r="Q24" s="9">
        <v>0.68</v>
      </c>
    </row>
    <row r="25">
      <c r="A25" s="8">
        <v>45618.0</v>
      </c>
      <c r="B25" s="3" t="s">
        <v>49</v>
      </c>
      <c r="C25" s="3" t="s">
        <v>57</v>
      </c>
      <c r="F25" s="3">
        <v>1953.0</v>
      </c>
      <c r="G25" s="3">
        <v>120.0</v>
      </c>
      <c r="H25" s="3">
        <v>1.0</v>
      </c>
      <c r="I25" s="3">
        <v>14.0</v>
      </c>
      <c r="J25" s="3">
        <v>4.0</v>
      </c>
      <c r="K25" s="3">
        <v>7.2</v>
      </c>
      <c r="L25" s="3">
        <v>39.45</v>
      </c>
      <c r="M25" s="5">
        <f t="shared" si="1"/>
        <v>0.1825095057</v>
      </c>
      <c r="N25" s="6">
        <f t="shared" si="2"/>
        <v>0.06144393241</v>
      </c>
      <c r="O25" s="6">
        <f t="shared" si="3"/>
        <v>0.0005120327701</v>
      </c>
      <c r="P25" s="6">
        <f t="shared" si="4"/>
        <v>0.007168458781</v>
      </c>
      <c r="Q25" s="7">
        <v>0.75</v>
      </c>
    </row>
    <row r="26">
      <c r="A26" s="8">
        <v>45620.0</v>
      </c>
      <c r="B26" s="3" t="s">
        <v>50</v>
      </c>
      <c r="C26" s="3" t="s">
        <v>57</v>
      </c>
      <c r="F26" s="3">
        <v>8.0</v>
      </c>
      <c r="G26" s="3">
        <v>1.0</v>
      </c>
      <c r="H26" s="3">
        <v>0.0</v>
      </c>
      <c r="I26" s="3">
        <v>0.0</v>
      </c>
      <c r="J26" s="3">
        <v>0.0</v>
      </c>
      <c r="K26" s="3">
        <v>2.1</v>
      </c>
      <c r="L26" s="3">
        <v>36.45</v>
      </c>
      <c r="M26" s="5">
        <f t="shared" si="1"/>
        <v>0.05761316872</v>
      </c>
      <c r="N26" s="6">
        <f t="shared" si="2"/>
        <v>0.125</v>
      </c>
      <c r="O26" s="6">
        <f t="shared" si="3"/>
        <v>0</v>
      </c>
      <c r="P26" s="6">
        <f t="shared" si="4"/>
        <v>0</v>
      </c>
      <c r="Q26" s="9">
        <v>0.14</v>
      </c>
    </row>
    <row r="27">
      <c r="A27" s="8">
        <v>45621.0</v>
      </c>
      <c r="B27" s="3" t="s">
        <v>51</v>
      </c>
      <c r="C27" s="3" t="s">
        <v>57</v>
      </c>
      <c r="F27" s="3">
        <v>728.0</v>
      </c>
      <c r="G27" s="3">
        <v>30.0</v>
      </c>
      <c r="H27" s="3">
        <v>1.0</v>
      </c>
      <c r="I27" s="3">
        <v>2.0</v>
      </c>
      <c r="J27" s="3">
        <v>0.0</v>
      </c>
      <c r="K27" s="3">
        <v>6.2</v>
      </c>
      <c r="L27" s="3">
        <v>29.16</v>
      </c>
      <c r="M27" s="5">
        <f t="shared" si="1"/>
        <v>0.2126200274</v>
      </c>
      <c r="N27" s="6">
        <f t="shared" si="2"/>
        <v>0.04120879121</v>
      </c>
      <c r="O27" s="6">
        <f t="shared" si="3"/>
        <v>0.001373626374</v>
      </c>
      <c r="P27" s="6">
        <f t="shared" si="4"/>
        <v>0.002747252747</v>
      </c>
      <c r="Q27" s="7">
        <v>0.74</v>
      </c>
    </row>
    <row r="28">
      <c r="A28" s="8">
        <v>45622.0</v>
      </c>
      <c r="B28" s="3" t="s">
        <v>52</v>
      </c>
      <c r="C28" s="3" t="s">
        <v>57</v>
      </c>
      <c r="F28" s="3">
        <v>665.0</v>
      </c>
      <c r="G28" s="3">
        <v>58.0</v>
      </c>
      <c r="H28" s="3">
        <v>0.0</v>
      </c>
      <c r="I28" s="3">
        <v>5.0</v>
      </c>
      <c r="J28" s="3">
        <v>5.0</v>
      </c>
      <c r="K28" s="3">
        <v>8.7</v>
      </c>
      <c r="L28" s="3">
        <v>26.7</v>
      </c>
      <c r="M28" s="5">
        <f t="shared" si="1"/>
        <v>0.3258426966</v>
      </c>
      <c r="N28" s="6">
        <f t="shared" si="2"/>
        <v>0.08721804511</v>
      </c>
      <c r="O28" s="6">
        <f t="shared" si="3"/>
        <v>0</v>
      </c>
      <c r="P28" s="6">
        <f t="shared" si="4"/>
        <v>0.007518796992</v>
      </c>
      <c r="Q28" s="9">
        <v>0.78</v>
      </c>
    </row>
    <row r="29">
      <c r="A29" s="8">
        <v>45623.0</v>
      </c>
      <c r="B29" s="3" t="s">
        <v>55</v>
      </c>
      <c r="C29" s="3" t="s">
        <v>57</v>
      </c>
      <c r="F29" s="3">
        <v>755.0</v>
      </c>
      <c r="G29" s="3">
        <v>99.0</v>
      </c>
      <c r="H29" s="3">
        <v>1.0</v>
      </c>
      <c r="I29" s="3">
        <v>11.0</v>
      </c>
      <c r="J29" s="3">
        <v>2.0</v>
      </c>
      <c r="K29" s="3">
        <v>8.8</v>
      </c>
      <c r="L29" s="3">
        <v>36.1</v>
      </c>
      <c r="M29" s="5">
        <f t="shared" si="1"/>
        <v>0.243767313</v>
      </c>
      <c r="N29" s="6">
        <f t="shared" si="2"/>
        <v>0.1311258278</v>
      </c>
      <c r="O29" s="6">
        <f t="shared" si="3"/>
        <v>0.001324503311</v>
      </c>
      <c r="P29" s="6">
        <f t="shared" si="4"/>
        <v>0.01456953642</v>
      </c>
      <c r="Q29" s="9">
        <v>0.56</v>
      </c>
    </row>
    <row r="30">
      <c r="A30" s="8">
        <v>45624.0</v>
      </c>
      <c r="B30" s="3" t="s">
        <v>56</v>
      </c>
      <c r="C30" s="3" t="s">
        <v>57</v>
      </c>
      <c r="F30" s="3">
        <v>963.0</v>
      </c>
      <c r="G30" s="3">
        <v>110.0</v>
      </c>
      <c r="H30" s="3">
        <v>0.0</v>
      </c>
      <c r="I30" s="3">
        <v>8.0</v>
      </c>
      <c r="J30" s="3">
        <v>2.0</v>
      </c>
      <c r="K30" s="3">
        <v>6.5</v>
      </c>
      <c r="L30" s="3">
        <v>8.72</v>
      </c>
      <c r="M30" s="5">
        <f t="shared" si="1"/>
        <v>0.745412844</v>
      </c>
      <c r="N30" s="6">
        <f t="shared" si="2"/>
        <v>0.1142263759</v>
      </c>
      <c r="O30" s="6">
        <f t="shared" si="3"/>
        <v>0</v>
      </c>
      <c r="P30" s="6">
        <f t="shared" si="4"/>
        <v>0.008307372793</v>
      </c>
      <c r="Q30" s="9">
        <v>0.63</v>
      </c>
    </row>
    <row r="31">
      <c r="A31" s="8">
        <v>45624.0</v>
      </c>
      <c r="B31" s="3" t="s">
        <v>72</v>
      </c>
      <c r="C31" s="3" t="s">
        <v>57</v>
      </c>
      <c r="F31" s="3">
        <v>686.0</v>
      </c>
      <c r="G31" s="3">
        <v>60.0</v>
      </c>
      <c r="H31" s="3">
        <v>0.0</v>
      </c>
      <c r="I31" s="3">
        <v>5.0</v>
      </c>
      <c r="J31" s="3">
        <v>0.0</v>
      </c>
      <c r="K31" s="3">
        <v>8.1</v>
      </c>
      <c r="L31" s="3">
        <v>36.15</v>
      </c>
      <c r="M31" s="5">
        <f t="shared" si="1"/>
        <v>0.22406639</v>
      </c>
      <c r="N31" s="6">
        <f t="shared" si="2"/>
        <v>0.08746355685</v>
      </c>
      <c r="O31" s="6">
        <f t="shared" si="3"/>
        <v>0</v>
      </c>
      <c r="P31" s="6">
        <f t="shared" si="4"/>
        <v>0.007288629738</v>
      </c>
      <c r="Q31" s="9">
        <v>0.6</v>
      </c>
    </row>
    <row r="32">
      <c r="A32" s="8">
        <v>45625.0</v>
      </c>
      <c r="B32" s="3" t="s">
        <v>59</v>
      </c>
      <c r="C32" s="3" t="s">
        <v>57</v>
      </c>
      <c r="F32" s="3">
        <v>738.0</v>
      </c>
      <c r="G32" s="3">
        <v>42.0</v>
      </c>
      <c r="H32" s="3">
        <v>1.0</v>
      </c>
      <c r="I32" s="3">
        <v>7.0</v>
      </c>
      <c r="J32" s="3">
        <v>1.0</v>
      </c>
      <c r="K32" s="3">
        <v>6.0</v>
      </c>
      <c r="L32" s="3">
        <v>7.89</v>
      </c>
      <c r="M32" s="5">
        <f t="shared" si="1"/>
        <v>0.7604562738</v>
      </c>
      <c r="N32" s="6">
        <f t="shared" si="2"/>
        <v>0.05691056911</v>
      </c>
      <c r="O32" s="6">
        <f t="shared" si="3"/>
        <v>0.00135501355</v>
      </c>
      <c r="P32" s="6">
        <f t="shared" si="4"/>
        <v>0.009485094851</v>
      </c>
      <c r="Q32" s="3" t="s">
        <v>58</v>
      </c>
    </row>
    <row r="33">
      <c r="A33" s="8">
        <v>45626.0</v>
      </c>
      <c r="B33" s="3" t="s">
        <v>60</v>
      </c>
      <c r="C33" s="3" t="s">
        <v>20</v>
      </c>
      <c r="F33" s="3">
        <v>276.0</v>
      </c>
      <c r="G33" s="3">
        <v>31.0</v>
      </c>
      <c r="H33" s="3">
        <v>0.0</v>
      </c>
      <c r="I33" s="3">
        <v>2.0</v>
      </c>
      <c r="J33" s="3">
        <v>2.0</v>
      </c>
      <c r="K33" s="3">
        <v>5.3</v>
      </c>
      <c r="L33" s="3">
        <v>8.72</v>
      </c>
      <c r="M33" s="5">
        <f t="shared" si="1"/>
        <v>0.6077981651</v>
      </c>
      <c r="N33" s="6">
        <f t="shared" si="2"/>
        <v>0.1123188406</v>
      </c>
      <c r="O33" s="6">
        <f t="shared" si="3"/>
        <v>0</v>
      </c>
      <c r="P33" s="6">
        <f t="shared" si="4"/>
        <v>0.007246376812</v>
      </c>
      <c r="Q33" s="9">
        <v>0.36</v>
      </c>
    </row>
    <row r="34">
      <c r="A34" s="4">
        <v>45628.0</v>
      </c>
      <c r="B34" s="3" t="s">
        <v>61</v>
      </c>
      <c r="C34" s="3" t="s">
        <v>20</v>
      </c>
      <c r="F34" s="3">
        <v>546.0</v>
      </c>
      <c r="G34" s="3">
        <v>44.0</v>
      </c>
      <c r="H34" s="3">
        <v>8.0</v>
      </c>
      <c r="I34" s="3">
        <v>4.0</v>
      </c>
      <c r="J34" s="3">
        <v>0.0</v>
      </c>
      <c r="K34" s="3">
        <v>8.5</v>
      </c>
      <c r="L34" s="3">
        <v>31.7</v>
      </c>
      <c r="M34" s="5">
        <f t="shared" si="1"/>
        <v>0.2681388013</v>
      </c>
      <c r="N34" s="6">
        <f t="shared" si="2"/>
        <v>0.08058608059</v>
      </c>
      <c r="O34" s="6">
        <f t="shared" si="3"/>
        <v>0.01465201465</v>
      </c>
      <c r="P34" s="6">
        <f t="shared" si="4"/>
        <v>0.007326007326</v>
      </c>
      <c r="Q34" s="9">
        <v>0.64</v>
      </c>
    </row>
    <row r="35">
      <c r="A35" s="4">
        <v>45628.0</v>
      </c>
      <c r="B35" s="3" t="s">
        <v>73</v>
      </c>
      <c r="C35" s="3" t="s">
        <v>20</v>
      </c>
      <c r="F35" s="3">
        <v>455.0</v>
      </c>
      <c r="G35" s="3">
        <v>34.0</v>
      </c>
      <c r="H35" s="3">
        <v>9.0</v>
      </c>
      <c r="I35" s="3">
        <v>2.0</v>
      </c>
      <c r="J35" s="3">
        <v>1.0</v>
      </c>
      <c r="K35" s="3">
        <v>5.6</v>
      </c>
      <c r="L35" s="3">
        <v>11.58</v>
      </c>
      <c r="M35" s="5">
        <f t="shared" si="1"/>
        <v>0.4835924007</v>
      </c>
      <c r="N35" s="6">
        <f t="shared" si="2"/>
        <v>0.07472527473</v>
      </c>
      <c r="O35" s="6">
        <f t="shared" si="3"/>
        <v>0.01978021978</v>
      </c>
      <c r="P35" s="6">
        <f t="shared" si="4"/>
        <v>0.004395604396</v>
      </c>
      <c r="Q35" s="9">
        <v>0.67</v>
      </c>
    </row>
    <row r="36">
      <c r="A36" s="4">
        <v>45629.0</v>
      </c>
      <c r="B36" s="3" t="s">
        <v>63</v>
      </c>
      <c r="C36" s="3" t="s">
        <v>20</v>
      </c>
      <c r="F36" s="3">
        <v>493.0</v>
      </c>
      <c r="G36" s="3">
        <v>47.0</v>
      </c>
      <c r="H36" s="3">
        <v>5.0</v>
      </c>
      <c r="I36" s="3">
        <v>6.0</v>
      </c>
      <c r="J36" s="3">
        <v>1.0</v>
      </c>
      <c r="K36" s="3">
        <v>4.0</v>
      </c>
      <c r="L36" s="3">
        <v>13.4</v>
      </c>
      <c r="M36" s="5">
        <f t="shared" si="1"/>
        <v>0.2985074627</v>
      </c>
      <c r="N36" s="6">
        <f t="shared" si="2"/>
        <v>0.0953346856</v>
      </c>
      <c r="O36" s="6">
        <f t="shared" si="3"/>
        <v>0.01014198783</v>
      </c>
      <c r="P36" s="6">
        <f t="shared" si="4"/>
        <v>0.0121703854</v>
      </c>
      <c r="Q36" s="9">
        <v>0.68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13"/>
    <col customWidth="1" min="3" max="3" width="18.25"/>
    <col customWidth="1" min="4" max="4" width="16.63"/>
    <col customWidth="1" min="5" max="5" width="17.5"/>
    <col customWidth="1" min="6" max="6" width="16.63"/>
    <col customWidth="1" min="7" max="7" width="15.13"/>
    <col customWidth="1" min="8" max="8" width="16.88"/>
    <col customWidth="1" min="9" max="9" width="20.88"/>
    <col customWidth="1" min="10" max="10" width="17.25"/>
    <col customWidth="1" min="11" max="11" width="17.75"/>
    <col customWidth="1" min="16" max="16" width="19.25"/>
  </cols>
  <sheetData>
    <row r="1">
      <c r="A1" s="7">
        <v>0.03</v>
      </c>
    </row>
    <row r="3">
      <c r="A3" s="3" t="s">
        <v>74</v>
      </c>
    </row>
    <row r="4">
      <c r="A4" s="3" t="s">
        <v>75</v>
      </c>
      <c r="C4" s="3" t="s">
        <v>76</v>
      </c>
      <c r="E4" s="3" t="s">
        <v>77</v>
      </c>
    </row>
    <row r="5">
      <c r="A5" s="3" t="s">
        <v>78</v>
      </c>
      <c r="C5" s="3" t="s">
        <v>79</v>
      </c>
      <c r="E5" s="3" t="s">
        <v>80</v>
      </c>
    </row>
    <row r="6">
      <c r="A6" s="3" t="s">
        <v>81</v>
      </c>
      <c r="C6" s="3" t="s">
        <v>82</v>
      </c>
      <c r="E6" s="3" t="s">
        <v>83</v>
      </c>
    </row>
    <row r="7">
      <c r="A7" s="3" t="s">
        <v>84</v>
      </c>
      <c r="C7" s="3" t="s">
        <v>85</v>
      </c>
      <c r="E7" s="3" t="s">
        <v>86</v>
      </c>
    </row>
    <row r="8">
      <c r="A8" s="3" t="s">
        <v>87</v>
      </c>
      <c r="C8" s="3" t="s">
        <v>88</v>
      </c>
      <c r="E8" s="3" t="s">
        <v>89</v>
      </c>
    </row>
    <row r="9">
      <c r="A9" s="3" t="s">
        <v>90</v>
      </c>
      <c r="C9" s="3" t="s">
        <v>91</v>
      </c>
      <c r="E9" s="3" t="s">
        <v>91</v>
      </c>
    </row>
    <row r="11">
      <c r="A11" s="3" t="s">
        <v>92</v>
      </c>
      <c r="C11" s="3" t="s">
        <v>93</v>
      </c>
      <c r="E11" s="3" t="s">
        <v>94</v>
      </c>
    </row>
    <row r="12">
      <c r="A12" s="3" t="s">
        <v>95</v>
      </c>
      <c r="C12" s="3" t="s">
        <v>96</v>
      </c>
      <c r="E12" s="3" t="s">
        <v>97</v>
      </c>
    </row>
    <row r="13">
      <c r="A13" s="3" t="s">
        <v>98</v>
      </c>
      <c r="C13" s="3" t="s">
        <v>99</v>
      </c>
    </row>
    <row r="14">
      <c r="A14" s="3" t="s">
        <v>100</v>
      </c>
    </row>
    <row r="15">
      <c r="B15" s="10" t="s">
        <v>101</v>
      </c>
      <c r="F15" s="3" t="s">
        <v>102</v>
      </c>
      <c r="H15" s="10" t="s">
        <v>103</v>
      </c>
    </row>
    <row r="16">
      <c r="B16" s="3" t="s">
        <v>104</v>
      </c>
      <c r="C16" s="3" t="s">
        <v>105</v>
      </c>
      <c r="D16" s="3" t="s">
        <v>106</v>
      </c>
      <c r="E16" s="3" t="s">
        <v>107</v>
      </c>
      <c r="H16" s="3" t="s">
        <v>108</v>
      </c>
      <c r="I16" s="3" t="s">
        <v>109</v>
      </c>
    </row>
    <row r="17">
      <c r="A17" s="10" t="s">
        <v>110</v>
      </c>
    </row>
    <row r="18">
      <c r="A18" s="3" t="s">
        <v>111</v>
      </c>
      <c r="B18" s="7">
        <v>0.024</v>
      </c>
      <c r="C18" s="7">
        <v>0.03</v>
      </c>
      <c r="D18" s="7">
        <v>0.026</v>
      </c>
      <c r="E18" s="7">
        <v>0.03</v>
      </c>
      <c r="H18" s="7">
        <v>0.027</v>
      </c>
      <c r="I18" s="7">
        <v>0.022</v>
      </c>
    </row>
    <row r="19">
      <c r="A19" s="3" t="s">
        <v>14</v>
      </c>
      <c r="B19" s="7">
        <v>0.378</v>
      </c>
      <c r="C19" s="10" t="s">
        <v>112</v>
      </c>
      <c r="D19" s="10" t="s">
        <v>112</v>
      </c>
      <c r="E19" s="10" t="s">
        <v>112</v>
      </c>
      <c r="H19" s="10" t="s">
        <v>112</v>
      </c>
      <c r="I19" s="10" t="s">
        <v>112</v>
      </c>
    </row>
    <row r="20">
      <c r="A20" s="3" t="s">
        <v>12</v>
      </c>
      <c r="B20" s="3" t="s">
        <v>113</v>
      </c>
      <c r="C20" s="3" t="s">
        <v>114</v>
      </c>
      <c r="D20" s="3" t="s">
        <v>115</v>
      </c>
      <c r="E20" s="3" t="s">
        <v>116</v>
      </c>
      <c r="H20" s="3" t="s">
        <v>117</v>
      </c>
      <c r="I20" s="3" t="s">
        <v>118</v>
      </c>
    </row>
    <row r="21">
      <c r="A21" s="3" t="s">
        <v>119</v>
      </c>
      <c r="B21" s="7">
        <v>0.407</v>
      </c>
      <c r="C21" s="7">
        <v>0.391</v>
      </c>
      <c r="D21" s="7">
        <v>0.436</v>
      </c>
      <c r="E21" s="7">
        <v>0.264</v>
      </c>
      <c r="H21" s="7">
        <v>0.401</v>
      </c>
      <c r="I21" s="7">
        <v>0.432</v>
      </c>
    </row>
    <row r="22">
      <c r="A22" s="10" t="s">
        <v>120</v>
      </c>
    </row>
    <row r="23">
      <c r="A23" s="3" t="s">
        <v>121</v>
      </c>
      <c r="B23" s="7">
        <v>0.0103</v>
      </c>
      <c r="C23" s="7">
        <v>0.0094</v>
      </c>
      <c r="D23" s="7">
        <v>0.0206</v>
      </c>
      <c r="E23" s="7">
        <v>0.0216</v>
      </c>
      <c r="H23" s="7">
        <v>0.0189</v>
      </c>
      <c r="I23" s="7">
        <v>0.008</v>
      </c>
    </row>
    <row r="24">
      <c r="A24" s="3" t="s">
        <v>122</v>
      </c>
      <c r="B24" s="7">
        <v>0.238</v>
      </c>
      <c r="C24" s="7">
        <v>-0.336</v>
      </c>
      <c r="D24" s="9">
        <v>1.0</v>
      </c>
      <c r="E24" s="7">
        <v>-0.308</v>
      </c>
      <c r="H24" s="7">
        <v>0.0119</v>
      </c>
      <c r="I24" s="3">
        <v>3754.0</v>
      </c>
    </row>
    <row r="25">
      <c r="A25" s="3" t="s">
        <v>123</v>
      </c>
      <c r="B25" s="6">
        <f>50/1097</f>
        <v>0.04557885141</v>
      </c>
      <c r="C25" s="6">
        <f>50/1102</f>
        <v>0.04537205082</v>
      </c>
      <c r="D25" s="6">
        <f>65/1107</f>
        <v>0.05871725384</v>
      </c>
      <c r="E25" s="6">
        <f>58/1100</f>
        <v>0.05272727273</v>
      </c>
      <c r="H25" s="7">
        <v>0.0483</v>
      </c>
      <c r="I25" s="6">
        <f>47/1094</f>
        <v>0.04296160878</v>
      </c>
    </row>
    <row r="26">
      <c r="A26" s="10" t="s">
        <v>124</v>
      </c>
      <c r="C26" s="6"/>
    </row>
    <row r="27">
      <c r="A27" s="11" t="s">
        <v>125</v>
      </c>
      <c r="B27" s="9">
        <v>0.25</v>
      </c>
      <c r="C27" s="9">
        <v>0.3</v>
      </c>
      <c r="D27" s="12">
        <f>(20+34+24+13+23+28+42)/7</f>
        <v>26.28571429</v>
      </c>
      <c r="E27" s="9">
        <v>0.25</v>
      </c>
      <c r="H27" s="9">
        <v>0.19</v>
      </c>
      <c r="I27" s="9">
        <v>0.19</v>
      </c>
    </row>
    <row r="28">
      <c r="A28" s="3" t="s">
        <v>121</v>
      </c>
      <c r="B28" s="9">
        <v>0.1</v>
      </c>
      <c r="C28" s="9">
        <v>0.08</v>
      </c>
      <c r="D28" s="9">
        <v>0.09</v>
      </c>
      <c r="E28" s="6">
        <f>17/355</f>
        <v>0.04788732394</v>
      </c>
      <c r="H28" s="7">
        <v>0.0735</v>
      </c>
      <c r="I28" s="6">
        <f>37/792</f>
        <v>0.04671717172</v>
      </c>
    </row>
    <row r="30">
      <c r="B30" s="10" t="s">
        <v>126</v>
      </c>
      <c r="D30" s="10" t="s">
        <v>127</v>
      </c>
      <c r="E30" s="13">
        <f>sum(B51:E51)+sum(B47:E47)+sum(B42:E42)+sum(B38:E38)</f>
        <v>49984</v>
      </c>
      <c r="I30" s="10" t="s">
        <v>128</v>
      </c>
      <c r="K30" s="10" t="s">
        <v>127</v>
      </c>
      <c r="L30" s="13">
        <f>sum(I51:L51)+sum(I47:L47)+sum(I42:L42)+sum(I38:L38)</f>
        <v>29906</v>
      </c>
    </row>
    <row r="31">
      <c r="B31" s="3" t="s">
        <v>129</v>
      </c>
      <c r="C31" s="3" t="s">
        <v>130</v>
      </c>
      <c r="D31" s="3" t="s">
        <v>131</v>
      </c>
      <c r="E31" s="3" t="s">
        <v>132</v>
      </c>
      <c r="F31" s="3" t="s">
        <v>102</v>
      </c>
      <c r="I31" s="3" t="s">
        <v>133</v>
      </c>
      <c r="J31" s="3" t="s">
        <v>134</v>
      </c>
      <c r="K31" s="3" t="s">
        <v>135</v>
      </c>
      <c r="L31" s="3" t="s">
        <v>136</v>
      </c>
      <c r="M31" s="3" t="s">
        <v>102</v>
      </c>
      <c r="P31" s="10" t="s">
        <v>137</v>
      </c>
      <c r="Q31" s="10" t="s">
        <v>138</v>
      </c>
    </row>
    <row r="32">
      <c r="A32" s="10" t="s">
        <v>110</v>
      </c>
      <c r="H32" s="10" t="s">
        <v>110</v>
      </c>
      <c r="P32" s="3" t="s">
        <v>139</v>
      </c>
      <c r="Q32" s="3">
        <v>12218.0</v>
      </c>
    </row>
    <row r="33">
      <c r="A33" s="3" t="s">
        <v>111</v>
      </c>
      <c r="B33" s="7">
        <v>0.028</v>
      </c>
      <c r="C33" s="7">
        <v>0.029</v>
      </c>
      <c r="D33" s="7">
        <v>0.028</v>
      </c>
      <c r="E33" s="7">
        <v>0.028</v>
      </c>
      <c r="F33" s="6">
        <f t="shared" ref="F33:F34" si="1">AVERAGE(B33:E33)</f>
        <v>0.02825</v>
      </c>
      <c r="H33" s="3" t="s">
        <v>111</v>
      </c>
      <c r="I33" s="7">
        <v>0.028</v>
      </c>
      <c r="J33" s="7">
        <v>0.032</v>
      </c>
      <c r="K33" s="3" t="s">
        <v>140</v>
      </c>
      <c r="L33" s="7"/>
      <c r="P33" s="3" t="s">
        <v>141</v>
      </c>
      <c r="Q33" s="3">
        <v>10746.0</v>
      </c>
    </row>
    <row r="34">
      <c r="A34" s="3" t="s">
        <v>142</v>
      </c>
      <c r="B34" s="7">
        <v>0.487</v>
      </c>
      <c r="C34" s="7">
        <v>0.429</v>
      </c>
      <c r="D34" s="7">
        <v>0.383</v>
      </c>
      <c r="E34" s="7">
        <v>0.582</v>
      </c>
      <c r="F34" s="6">
        <f t="shared" si="1"/>
        <v>0.47025</v>
      </c>
      <c r="H34" s="3" t="s">
        <v>142</v>
      </c>
      <c r="I34" s="7">
        <v>0.487</v>
      </c>
      <c r="J34" s="7">
        <v>0.311</v>
      </c>
      <c r="K34" s="7">
        <v>0.304</v>
      </c>
      <c r="L34" s="7"/>
      <c r="P34" s="3" t="s">
        <v>143</v>
      </c>
      <c r="Q34" s="3">
        <v>6441.0</v>
      </c>
    </row>
    <row r="35">
      <c r="A35" s="3" t="s">
        <v>144</v>
      </c>
      <c r="B35" s="10" t="s">
        <v>112</v>
      </c>
      <c r="C35" s="10" t="s">
        <v>112</v>
      </c>
      <c r="D35" s="14">
        <v>0.351</v>
      </c>
      <c r="E35" s="10" t="s">
        <v>112</v>
      </c>
      <c r="H35" s="3" t="s">
        <v>145</v>
      </c>
      <c r="I35" s="15">
        <v>0.09236111111111112</v>
      </c>
      <c r="J35" s="15">
        <v>0.10277777777777777</v>
      </c>
      <c r="K35" s="16">
        <v>0.08333333333333333</v>
      </c>
      <c r="L35" s="10"/>
      <c r="P35" s="3" t="s">
        <v>146</v>
      </c>
      <c r="Q35" s="3">
        <v>20579.0</v>
      </c>
    </row>
    <row r="36">
      <c r="A36" s="3" t="s">
        <v>12</v>
      </c>
      <c r="B36" s="3" t="s">
        <v>147</v>
      </c>
      <c r="C36" s="3" t="s">
        <v>148</v>
      </c>
      <c r="D36" s="3" t="s">
        <v>149</v>
      </c>
      <c r="E36" s="3" t="s">
        <v>150</v>
      </c>
      <c r="H36" s="3" t="s">
        <v>12</v>
      </c>
      <c r="I36" s="3" t="s">
        <v>147</v>
      </c>
      <c r="J36" s="3" t="s">
        <v>151</v>
      </c>
      <c r="K36" s="3" t="s">
        <v>152</v>
      </c>
      <c r="P36" s="3" t="s">
        <v>153</v>
      </c>
      <c r="Q36" s="3">
        <v>12218.0</v>
      </c>
    </row>
    <row r="37">
      <c r="A37" s="3" t="s">
        <v>119</v>
      </c>
      <c r="B37" s="7">
        <v>0.484</v>
      </c>
      <c r="C37" s="7">
        <v>0.405</v>
      </c>
      <c r="D37" s="7">
        <v>0.436</v>
      </c>
      <c r="E37" s="7">
        <v>0.435</v>
      </c>
      <c r="F37" s="6">
        <f t="shared" ref="F37:F39" si="2">AVERAGE(B37:E37)</f>
        <v>0.44</v>
      </c>
      <c r="H37" s="3" t="s">
        <v>119</v>
      </c>
      <c r="I37" s="7">
        <v>0.484</v>
      </c>
      <c r="J37" s="7">
        <v>0.414</v>
      </c>
      <c r="K37" s="7">
        <v>0.479</v>
      </c>
      <c r="L37" s="7"/>
      <c r="M37" s="6"/>
      <c r="P37" s="3" t="s">
        <v>154</v>
      </c>
      <c r="Q37" s="3">
        <v>5640.0</v>
      </c>
    </row>
    <row r="38">
      <c r="A38" s="3" t="s">
        <v>8</v>
      </c>
      <c r="B38" s="3">
        <v>4417.0</v>
      </c>
      <c r="C38" s="3">
        <v>3227.0</v>
      </c>
      <c r="D38" s="3">
        <v>1529.0</v>
      </c>
      <c r="E38" s="3">
        <v>6506.0</v>
      </c>
      <c r="F38" s="17">
        <f t="shared" si="2"/>
        <v>3919.75</v>
      </c>
      <c r="H38" s="3" t="s">
        <v>8</v>
      </c>
      <c r="I38" s="3">
        <v>4417.0</v>
      </c>
      <c r="J38" s="3">
        <v>1347.0</v>
      </c>
      <c r="K38" s="3">
        <v>2956.0</v>
      </c>
      <c r="L38" s="3">
        <v>1295.0</v>
      </c>
      <c r="P38" s="3" t="s">
        <v>155</v>
      </c>
      <c r="Q38" s="3">
        <v>9279.0</v>
      </c>
    </row>
    <row r="39">
      <c r="A39" s="3" t="s">
        <v>156</v>
      </c>
      <c r="B39" s="3">
        <v>45.0</v>
      </c>
      <c r="C39" s="3">
        <v>26.0</v>
      </c>
      <c r="D39" s="3">
        <v>14.0</v>
      </c>
      <c r="E39" s="3">
        <v>29.0</v>
      </c>
      <c r="F39" s="17">
        <f t="shared" si="2"/>
        <v>28.5</v>
      </c>
      <c r="H39" s="3" t="s">
        <v>156</v>
      </c>
      <c r="I39" s="3">
        <v>45.0</v>
      </c>
      <c r="J39" s="3">
        <v>31.0</v>
      </c>
      <c r="K39" s="3">
        <v>37.0</v>
      </c>
      <c r="P39" s="3" t="s">
        <v>157</v>
      </c>
      <c r="Q39" s="3">
        <v>2769.0</v>
      </c>
    </row>
    <row r="40">
      <c r="A40" s="10" t="s">
        <v>120</v>
      </c>
      <c r="H40" s="10" t="s">
        <v>120</v>
      </c>
      <c r="P40" s="3" t="s">
        <v>158</v>
      </c>
      <c r="Q40" s="3">
        <v>7130.0</v>
      </c>
    </row>
    <row r="41">
      <c r="A41" s="3" t="s">
        <v>121</v>
      </c>
      <c r="B41" s="7"/>
      <c r="C41" s="7"/>
      <c r="D41" s="7"/>
      <c r="E41" s="7"/>
      <c r="H41" s="3" t="s">
        <v>121</v>
      </c>
      <c r="I41" s="7"/>
      <c r="J41" s="7"/>
      <c r="K41" s="7">
        <v>0.0261</v>
      </c>
      <c r="L41" s="7"/>
      <c r="P41" s="3" t="s">
        <v>159</v>
      </c>
      <c r="Q41" s="3">
        <v>15682.0</v>
      </c>
    </row>
    <row r="42">
      <c r="A42" s="3" t="s">
        <v>122</v>
      </c>
      <c r="B42" s="3">
        <v>3403.0</v>
      </c>
      <c r="C42" s="3">
        <v>4144.0</v>
      </c>
      <c r="D42" s="3">
        <v>2545.0</v>
      </c>
      <c r="E42" s="3">
        <v>5113.0</v>
      </c>
      <c r="F42" s="18">
        <f t="shared" ref="F42:F44" si="3">AVERAGE(B42:E42)</f>
        <v>3801.25</v>
      </c>
      <c r="H42" s="3" t="s">
        <v>122</v>
      </c>
      <c r="I42" s="3">
        <v>3403.0</v>
      </c>
      <c r="J42" s="3">
        <v>1234.0</v>
      </c>
      <c r="K42" s="3">
        <v>3021.0</v>
      </c>
      <c r="L42" s="3">
        <v>1084.0</v>
      </c>
      <c r="M42" s="18"/>
      <c r="P42" s="3" t="s">
        <v>160</v>
      </c>
      <c r="Q42" s="3">
        <v>15329.0</v>
      </c>
    </row>
    <row r="43">
      <c r="A43" s="3" t="s">
        <v>123</v>
      </c>
      <c r="B43" s="3">
        <v>888.0</v>
      </c>
      <c r="C43" s="3">
        <v>468.0</v>
      </c>
      <c r="D43" s="3">
        <v>600.0</v>
      </c>
      <c r="E43" s="3">
        <v>1448.0</v>
      </c>
      <c r="F43" s="17">
        <f t="shared" si="3"/>
        <v>851</v>
      </c>
      <c r="H43" s="3" t="s">
        <v>123</v>
      </c>
      <c r="I43" s="3">
        <v>888.0</v>
      </c>
      <c r="J43" s="3">
        <v>633.0</v>
      </c>
      <c r="K43" s="3">
        <v>408.0</v>
      </c>
      <c r="L43" s="18">
        <f>L42*0.63</f>
        <v>682.92</v>
      </c>
      <c r="P43" s="3" t="s">
        <v>161</v>
      </c>
      <c r="Q43" s="3">
        <v>5923.0</v>
      </c>
    </row>
    <row r="44">
      <c r="A44" s="3" t="s">
        <v>162</v>
      </c>
      <c r="B44" s="3">
        <v>77.0</v>
      </c>
      <c r="C44" s="3">
        <v>88.0</v>
      </c>
      <c r="D44" s="3">
        <v>44.0</v>
      </c>
      <c r="E44" s="3">
        <v>79.0</v>
      </c>
      <c r="F44" s="17">
        <f t="shared" si="3"/>
        <v>72</v>
      </c>
      <c r="H44" s="3" t="s">
        <v>162</v>
      </c>
      <c r="I44" s="3">
        <v>77.0</v>
      </c>
      <c r="J44" s="3">
        <v>89.0</v>
      </c>
      <c r="K44" s="3">
        <v>52.0</v>
      </c>
      <c r="L44" s="3">
        <v>32.0</v>
      </c>
      <c r="P44" s="3" t="s">
        <v>163</v>
      </c>
      <c r="Q44" s="3">
        <v>7514.0</v>
      </c>
    </row>
    <row r="45">
      <c r="A45" s="10" t="s">
        <v>124</v>
      </c>
      <c r="C45" s="6"/>
      <c r="H45" s="10" t="s">
        <v>124</v>
      </c>
      <c r="J45" s="6"/>
      <c r="P45" s="3" t="s">
        <v>164</v>
      </c>
    </row>
    <row r="46">
      <c r="A46" s="3" t="s">
        <v>165</v>
      </c>
      <c r="H46" s="3" t="s">
        <v>165</v>
      </c>
    </row>
    <row r="47">
      <c r="A47" s="3" t="s">
        <v>8</v>
      </c>
      <c r="B47" s="3">
        <v>372.0</v>
      </c>
      <c r="C47" s="3">
        <v>182.0</v>
      </c>
      <c r="D47" s="3">
        <v>137.0</v>
      </c>
      <c r="E47" s="3">
        <v>6613.0</v>
      </c>
      <c r="F47" s="18">
        <f t="shared" ref="F47:F49" si="4">AVERAGE(B47:E47)</f>
        <v>1826</v>
      </c>
      <c r="H47" s="3" t="s">
        <v>8</v>
      </c>
      <c r="I47" s="3">
        <v>372.0</v>
      </c>
      <c r="J47" s="3">
        <v>94.0</v>
      </c>
      <c r="K47" s="3">
        <v>3302.0</v>
      </c>
      <c r="M47" s="18"/>
    </row>
    <row r="48">
      <c r="A48" s="3" t="s">
        <v>66</v>
      </c>
      <c r="B48" s="3">
        <v>41.0</v>
      </c>
      <c r="C48" s="3">
        <v>14.0</v>
      </c>
      <c r="D48" s="3">
        <v>12.0</v>
      </c>
      <c r="E48" s="3">
        <v>554.0</v>
      </c>
      <c r="F48" s="18">
        <f t="shared" si="4"/>
        <v>155.25</v>
      </c>
      <c r="H48" s="3" t="s">
        <v>66</v>
      </c>
      <c r="I48" s="3">
        <v>41.0</v>
      </c>
      <c r="J48" s="3">
        <v>4.0</v>
      </c>
      <c r="K48" s="3">
        <v>267.0</v>
      </c>
      <c r="M48" s="18"/>
    </row>
    <row r="49">
      <c r="A49" s="3" t="s">
        <v>166</v>
      </c>
      <c r="B49" s="3">
        <v>0.0</v>
      </c>
      <c r="C49" s="3">
        <v>0.0</v>
      </c>
      <c r="D49" s="3">
        <v>-1.0</v>
      </c>
      <c r="E49" s="3">
        <v>10.0</v>
      </c>
      <c r="F49" s="18">
        <f t="shared" si="4"/>
        <v>2.25</v>
      </c>
      <c r="H49" s="3" t="s">
        <v>166</v>
      </c>
      <c r="I49" s="3">
        <v>0.0</v>
      </c>
      <c r="J49" s="3">
        <v>0.0</v>
      </c>
      <c r="K49" s="3">
        <v>4.0</v>
      </c>
      <c r="M49" s="18"/>
    </row>
    <row r="50">
      <c r="A50" s="3" t="s">
        <v>167</v>
      </c>
      <c r="F50" s="18"/>
      <c r="H50" s="3" t="s">
        <v>167</v>
      </c>
      <c r="M50" s="18"/>
    </row>
    <row r="51">
      <c r="A51" s="3" t="s">
        <v>8</v>
      </c>
      <c r="B51" s="3">
        <v>4026.0</v>
      </c>
      <c r="C51" s="3">
        <v>3193.0</v>
      </c>
      <c r="D51" s="3">
        <v>2230.0</v>
      </c>
      <c r="E51" s="3">
        <v>2347.0</v>
      </c>
      <c r="F51" s="18">
        <f t="shared" ref="F51:F53" si="5">AVERAGE(B51:E51)</f>
        <v>2949</v>
      </c>
      <c r="H51" s="3" t="s">
        <v>8</v>
      </c>
      <c r="I51" s="3">
        <v>4026.0</v>
      </c>
      <c r="J51" s="3">
        <v>2965.0</v>
      </c>
      <c r="L51" s="3">
        <v>390.0</v>
      </c>
      <c r="M51" s="18"/>
    </row>
    <row r="52">
      <c r="A52" s="3" t="s">
        <v>66</v>
      </c>
      <c r="B52" s="3">
        <v>235.0</v>
      </c>
      <c r="C52" s="3">
        <v>206.0</v>
      </c>
      <c r="D52" s="3">
        <v>147.0</v>
      </c>
      <c r="E52" s="3">
        <v>143.0</v>
      </c>
      <c r="F52" s="18">
        <f t="shared" si="5"/>
        <v>182.75</v>
      </c>
      <c r="H52" s="3" t="s">
        <v>66</v>
      </c>
      <c r="I52" s="3">
        <v>235.0</v>
      </c>
      <c r="J52" s="3">
        <v>188.0</v>
      </c>
      <c r="L52" s="3">
        <v>24.0</v>
      </c>
      <c r="M52" s="18"/>
    </row>
    <row r="53">
      <c r="A53" s="3" t="s">
        <v>166</v>
      </c>
      <c r="B53" s="3">
        <v>-11.0</v>
      </c>
      <c r="C53" s="3">
        <v>-11.0</v>
      </c>
      <c r="D53" s="3">
        <v>-9.0</v>
      </c>
      <c r="E53" s="3">
        <v>-11.0</v>
      </c>
      <c r="F53" s="18">
        <f t="shared" si="5"/>
        <v>-10.5</v>
      </c>
      <c r="H53" s="3" t="s">
        <v>166</v>
      </c>
      <c r="I53" s="3">
        <v>-11.0</v>
      </c>
      <c r="J53" s="3">
        <v>0.0</v>
      </c>
      <c r="L53" s="3">
        <v>1.0</v>
      </c>
      <c r="M53" s="18"/>
    </row>
    <row r="54">
      <c r="A54" s="3" t="s">
        <v>127</v>
      </c>
      <c r="B54" s="13">
        <f t="shared" ref="B54:F54" si="6">B51+B47+B42+B38</f>
        <v>12218</v>
      </c>
      <c r="C54" s="13">
        <f t="shared" si="6"/>
        <v>10746</v>
      </c>
      <c r="D54" s="13">
        <f t="shared" si="6"/>
        <v>6441</v>
      </c>
      <c r="E54" s="13">
        <f t="shared" si="6"/>
        <v>20579</v>
      </c>
      <c r="F54" s="13">
        <f t="shared" si="6"/>
        <v>12496</v>
      </c>
      <c r="H54" s="3" t="s">
        <v>127</v>
      </c>
      <c r="I54" s="13">
        <f t="shared" ref="I54:K54" si="7">I51+I47+I42+I38</f>
        <v>12218</v>
      </c>
      <c r="J54" s="13">
        <f t="shared" si="7"/>
        <v>5640</v>
      </c>
      <c r="K54" s="13">
        <f t="shared" si="7"/>
        <v>9279</v>
      </c>
      <c r="L54" s="13">
        <f>L51+L42+L38</f>
        <v>2769</v>
      </c>
      <c r="M54" s="13">
        <f>M51+M47+M42+M38</f>
        <v>0</v>
      </c>
    </row>
    <row r="57">
      <c r="B57" s="10" t="s">
        <v>168</v>
      </c>
      <c r="D57" s="10"/>
      <c r="E57" s="13"/>
      <c r="I57" s="10" t="s">
        <v>169</v>
      </c>
    </row>
    <row r="58">
      <c r="B58" s="3" t="s">
        <v>129</v>
      </c>
      <c r="C58" s="3" t="s">
        <v>130</v>
      </c>
      <c r="D58" s="3" t="s">
        <v>131</v>
      </c>
      <c r="E58" s="3" t="s">
        <v>132</v>
      </c>
      <c r="F58" s="3" t="s">
        <v>102</v>
      </c>
      <c r="I58" s="3" t="s">
        <v>170</v>
      </c>
      <c r="J58" s="3" t="s">
        <v>171</v>
      </c>
      <c r="K58" s="3" t="s">
        <v>172</v>
      </c>
      <c r="L58" s="3" t="s">
        <v>173</v>
      </c>
    </row>
    <row r="59">
      <c r="A59" s="10" t="s">
        <v>110</v>
      </c>
      <c r="H59" s="10" t="s">
        <v>110</v>
      </c>
    </row>
    <row r="60">
      <c r="A60" s="3" t="s">
        <v>111</v>
      </c>
      <c r="B60" s="7">
        <v>0.028</v>
      </c>
      <c r="C60" s="10" t="s">
        <v>112</v>
      </c>
      <c r="D60" s="3" t="s">
        <v>174</v>
      </c>
      <c r="E60" s="7">
        <v>0.029</v>
      </c>
      <c r="H60" s="3" t="s">
        <v>111</v>
      </c>
      <c r="J60" s="7">
        <v>0.058</v>
      </c>
    </row>
    <row r="61">
      <c r="A61" s="3" t="s">
        <v>142</v>
      </c>
      <c r="B61" s="7">
        <v>0.487</v>
      </c>
      <c r="C61" s="10" t="s">
        <v>112</v>
      </c>
      <c r="D61" s="7"/>
      <c r="E61" s="7">
        <v>0.341</v>
      </c>
      <c r="H61" s="3" t="s">
        <v>142</v>
      </c>
    </row>
    <row r="62">
      <c r="A62" s="3" t="s">
        <v>175</v>
      </c>
      <c r="B62" s="7">
        <v>0.797</v>
      </c>
      <c r="C62" s="10" t="s">
        <v>112</v>
      </c>
      <c r="D62" s="14"/>
      <c r="E62" s="7">
        <v>0.708</v>
      </c>
      <c r="H62" s="3" t="s">
        <v>175</v>
      </c>
      <c r="J62" s="7">
        <v>0.883</v>
      </c>
    </row>
    <row r="63">
      <c r="A63" s="3" t="s">
        <v>176</v>
      </c>
      <c r="B63" s="7">
        <v>0.507</v>
      </c>
      <c r="C63" s="10" t="s">
        <v>112</v>
      </c>
      <c r="D63" s="14"/>
      <c r="E63" s="7">
        <v>0.438</v>
      </c>
      <c r="H63" s="3" t="s">
        <v>176</v>
      </c>
      <c r="J63" s="7">
        <v>0.632</v>
      </c>
    </row>
    <row r="64">
      <c r="A64" s="3" t="s">
        <v>177</v>
      </c>
      <c r="B64" s="7">
        <v>0.255</v>
      </c>
      <c r="C64" s="10" t="s">
        <v>112</v>
      </c>
      <c r="D64" s="14"/>
      <c r="E64" s="7">
        <v>0.274</v>
      </c>
      <c r="H64" s="3" t="s">
        <v>177</v>
      </c>
      <c r="J64" s="7">
        <v>0.222</v>
      </c>
    </row>
    <row r="65">
      <c r="A65" s="3" t="s">
        <v>12</v>
      </c>
      <c r="B65" s="3" t="s">
        <v>178</v>
      </c>
      <c r="C65" s="3">
        <v>18.7</v>
      </c>
      <c r="E65" s="3">
        <v>7.2</v>
      </c>
      <c r="H65" s="3" t="s">
        <v>12</v>
      </c>
      <c r="J65" s="3">
        <v>75.5</v>
      </c>
    </row>
    <row r="66">
      <c r="A66" s="3" t="s">
        <v>119</v>
      </c>
      <c r="B66" s="7">
        <v>0.451</v>
      </c>
      <c r="C66" s="7">
        <v>0.502</v>
      </c>
      <c r="D66" s="7"/>
      <c r="E66" s="7">
        <v>0.444</v>
      </c>
      <c r="F66" s="6"/>
      <c r="H66" s="3" t="s">
        <v>119</v>
      </c>
      <c r="J66" s="7">
        <v>0.494</v>
      </c>
    </row>
    <row r="67">
      <c r="A67" s="3" t="s">
        <v>8</v>
      </c>
      <c r="B67" s="3">
        <v>2575.0</v>
      </c>
      <c r="C67" s="3">
        <v>3938.0</v>
      </c>
      <c r="D67" s="3">
        <v>3530.0</v>
      </c>
      <c r="E67" s="3">
        <v>1224.0</v>
      </c>
      <c r="H67" s="3" t="s">
        <v>8</v>
      </c>
      <c r="I67" s="3">
        <v>1563.0</v>
      </c>
      <c r="J67" s="3">
        <v>3700.0</v>
      </c>
    </row>
    <row r="68">
      <c r="A68" s="3" t="s">
        <v>156</v>
      </c>
      <c r="B68" s="3">
        <v>5.0</v>
      </c>
      <c r="C68" s="3">
        <v>8.0</v>
      </c>
      <c r="E68" s="3">
        <v>8.0</v>
      </c>
      <c r="H68" s="3" t="s">
        <v>156</v>
      </c>
      <c r="J68" s="3">
        <v>33.0</v>
      </c>
    </row>
    <row r="69">
      <c r="A69" s="10" t="s">
        <v>120</v>
      </c>
      <c r="H69" s="10" t="s">
        <v>120</v>
      </c>
    </row>
    <row r="70">
      <c r="A70" s="3" t="s">
        <v>121</v>
      </c>
      <c r="B70" s="7"/>
      <c r="C70" s="7"/>
      <c r="D70" s="7"/>
      <c r="E70" s="7"/>
      <c r="H70" s="3" t="s">
        <v>121</v>
      </c>
    </row>
    <row r="71">
      <c r="A71" s="3" t="s">
        <v>122</v>
      </c>
      <c r="B71" s="3">
        <v>3178.0</v>
      </c>
      <c r="C71" s="3">
        <v>10266.0</v>
      </c>
      <c r="D71" s="3">
        <v>9653.0</v>
      </c>
      <c r="E71" s="3">
        <v>3964.0</v>
      </c>
      <c r="F71" s="18"/>
      <c r="H71" s="3" t="s">
        <v>122</v>
      </c>
      <c r="I71" s="3">
        <v>5137.0</v>
      </c>
      <c r="J71" s="3">
        <v>7618.0</v>
      </c>
    </row>
    <row r="72">
      <c r="A72" s="3" t="s">
        <v>123</v>
      </c>
      <c r="B72" s="3">
        <v>906.0</v>
      </c>
      <c r="C72" s="3">
        <v>811.0</v>
      </c>
      <c r="D72" s="18">
        <f>D71*0.079</f>
        <v>762.587</v>
      </c>
      <c r="E72" s="18">
        <f>E71*0.104</f>
        <v>412.256</v>
      </c>
      <c r="H72" s="3" t="s">
        <v>123</v>
      </c>
      <c r="I72" s="18">
        <f>I71*0.081</f>
        <v>416.097</v>
      </c>
      <c r="J72" s="18">
        <f>J71*0.102</f>
        <v>777.036</v>
      </c>
    </row>
    <row r="73">
      <c r="A73" s="3" t="s">
        <v>162</v>
      </c>
      <c r="B73" s="3">
        <v>104.0</v>
      </c>
      <c r="C73" s="3">
        <v>133.0</v>
      </c>
      <c r="D73" s="3">
        <v>124.0</v>
      </c>
      <c r="E73" s="3">
        <v>56.0</v>
      </c>
      <c r="H73" s="3" t="s">
        <v>162</v>
      </c>
      <c r="I73" s="3">
        <v>103.0</v>
      </c>
      <c r="J73" s="3">
        <v>113.0</v>
      </c>
    </row>
    <row r="74">
      <c r="A74" s="10" t="s">
        <v>124</v>
      </c>
      <c r="C74" s="6"/>
      <c r="H74" s="10" t="s">
        <v>124</v>
      </c>
    </row>
    <row r="75">
      <c r="A75" s="3" t="s">
        <v>8</v>
      </c>
      <c r="B75" s="3">
        <v>1377.0</v>
      </c>
      <c r="C75" s="3">
        <v>1478.0</v>
      </c>
      <c r="D75" s="3">
        <v>2146.0</v>
      </c>
      <c r="E75" s="3">
        <v>735.0</v>
      </c>
      <c r="F75" s="18"/>
      <c r="H75" s="3" t="s">
        <v>8</v>
      </c>
      <c r="I75" s="3">
        <v>814.0</v>
      </c>
      <c r="J75" s="3">
        <v>1951.0</v>
      </c>
    </row>
    <row r="76">
      <c r="A76" s="3" t="s">
        <v>66</v>
      </c>
      <c r="B76" s="3">
        <v>99.0</v>
      </c>
      <c r="C76" s="3">
        <v>109.0</v>
      </c>
      <c r="D76" s="3">
        <v>147.0</v>
      </c>
      <c r="E76" s="3">
        <v>64.0</v>
      </c>
      <c r="F76" s="18"/>
      <c r="H76" s="3" t="s">
        <v>66</v>
      </c>
      <c r="I76" s="3">
        <v>36.0</v>
      </c>
      <c r="J76" s="3">
        <v>145.0</v>
      </c>
    </row>
    <row r="77">
      <c r="A77" s="3" t="s">
        <v>166</v>
      </c>
      <c r="B77" s="3">
        <v>-1.0</v>
      </c>
      <c r="C77" s="3">
        <v>2.0</v>
      </c>
      <c r="D77" s="3">
        <v>3.0</v>
      </c>
      <c r="E77" s="3">
        <v>5.0</v>
      </c>
      <c r="F77" s="18"/>
      <c r="H77" s="3" t="s">
        <v>166</v>
      </c>
      <c r="I77" s="3">
        <v>1.0</v>
      </c>
      <c r="J77" s="3">
        <v>7.0</v>
      </c>
    </row>
    <row r="78">
      <c r="A78" s="3" t="s">
        <v>127</v>
      </c>
      <c r="B78" s="13">
        <f t="shared" ref="B78:E78" si="8">B79+B75+B71+B67</f>
        <v>7130</v>
      </c>
      <c r="C78" s="13">
        <f t="shared" si="8"/>
        <v>15682</v>
      </c>
      <c r="D78" s="13">
        <f t="shared" si="8"/>
        <v>15329</v>
      </c>
      <c r="E78" s="13">
        <f t="shared" si="8"/>
        <v>5923</v>
      </c>
      <c r="F78" s="18"/>
      <c r="H78" s="3" t="s">
        <v>127</v>
      </c>
      <c r="I78" s="13">
        <f t="shared" ref="I78:L78" si="9">I79+I75+I71+I67</f>
        <v>7514</v>
      </c>
      <c r="J78" s="13">
        <f t="shared" si="9"/>
        <v>13269</v>
      </c>
      <c r="K78" s="13">
        <f t="shared" si="9"/>
        <v>0</v>
      </c>
      <c r="L78" s="13">
        <f t="shared" si="9"/>
        <v>0</v>
      </c>
    </row>
    <row r="79">
      <c r="F79" s="18"/>
    </row>
    <row r="80">
      <c r="F80" s="18"/>
    </row>
    <row r="81">
      <c r="F81" s="18"/>
    </row>
    <row r="82">
      <c r="C82" s="13"/>
      <c r="D82" s="13"/>
      <c r="E82" s="13"/>
      <c r="F82" s="13"/>
    </row>
    <row r="89">
      <c r="E89"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s>
  <sheetData>
    <row r="1">
      <c r="A1" s="3" t="s">
        <v>179</v>
      </c>
      <c r="C1" s="3" t="s">
        <v>93</v>
      </c>
      <c r="E1" s="3" t="s">
        <v>94</v>
      </c>
      <c r="G1" s="3" t="s">
        <v>180</v>
      </c>
      <c r="H1" s="19">
        <v>500000.0</v>
      </c>
    </row>
    <row r="2">
      <c r="A2" s="3" t="s">
        <v>95</v>
      </c>
      <c r="C2" s="3" t="s">
        <v>96</v>
      </c>
      <c r="E2" s="3" t="s">
        <v>97</v>
      </c>
      <c r="G2" s="3" t="s">
        <v>181</v>
      </c>
      <c r="H2" s="3" t="s">
        <v>182</v>
      </c>
    </row>
    <row r="3">
      <c r="A3" s="3" t="s">
        <v>98</v>
      </c>
      <c r="C3" s="3" t="s">
        <v>99</v>
      </c>
      <c r="G3" s="3" t="s">
        <v>183</v>
      </c>
      <c r="H3" s="3" t="s">
        <v>184</v>
      </c>
    </row>
    <row r="4">
      <c r="A4" s="3" t="s">
        <v>100</v>
      </c>
      <c r="G4" s="3" t="s">
        <v>185</v>
      </c>
      <c r="H4" s="3" t="s">
        <v>186</v>
      </c>
    </row>
    <row r="5">
      <c r="G5" s="3" t="s">
        <v>187</v>
      </c>
      <c r="H5" s="3" t="s">
        <v>188</v>
      </c>
    </row>
    <row r="6">
      <c r="G6" s="3" t="s">
        <v>189</v>
      </c>
      <c r="H6" s="3" t="s">
        <v>190</v>
      </c>
    </row>
    <row r="7">
      <c r="G7" s="3" t="s">
        <v>191</v>
      </c>
      <c r="H7" s="3" t="s">
        <v>192</v>
      </c>
    </row>
    <row r="8">
      <c r="G8" s="3" t="s">
        <v>193</v>
      </c>
      <c r="H8" s="3" t="s">
        <v>194</v>
      </c>
    </row>
    <row r="9">
      <c r="B9" s="10" t="s">
        <v>195</v>
      </c>
      <c r="D9" s="10"/>
    </row>
    <row r="10">
      <c r="B10" s="3" t="s">
        <v>131</v>
      </c>
      <c r="C10" s="3" t="s">
        <v>132</v>
      </c>
      <c r="D10" s="3" t="s">
        <v>102</v>
      </c>
    </row>
    <row r="11">
      <c r="A11" s="10" t="s">
        <v>110</v>
      </c>
    </row>
    <row r="12">
      <c r="A12" s="3" t="s">
        <v>111</v>
      </c>
      <c r="B12" s="7">
        <v>0.031</v>
      </c>
      <c r="C12" s="7"/>
    </row>
    <row r="13">
      <c r="A13" s="3" t="s">
        <v>142</v>
      </c>
      <c r="B13" s="7">
        <v>0.117</v>
      </c>
      <c r="C13" s="7"/>
    </row>
    <row r="14">
      <c r="A14" s="3" t="s">
        <v>196</v>
      </c>
      <c r="B14" s="14">
        <v>0.58</v>
      </c>
      <c r="C14" s="7"/>
    </row>
    <row r="15">
      <c r="A15" s="3" t="s">
        <v>176</v>
      </c>
      <c r="B15" s="14">
        <v>0.31</v>
      </c>
      <c r="C15" s="7"/>
    </row>
    <row r="16">
      <c r="A16" s="3" t="s">
        <v>177</v>
      </c>
      <c r="B16" s="14">
        <v>0.1245</v>
      </c>
      <c r="C16" s="7"/>
    </row>
    <row r="17">
      <c r="A17" s="3" t="s">
        <v>12</v>
      </c>
      <c r="B17" s="3">
        <v>1.1</v>
      </c>
    </row>
    <row r="18">
      <c r="A18" s="3" t="s">
        <v>119</v>
      </c>
      <c r="B18" s="7">
        <v>0.319</v>
      </c>
      <c r="C18" s="7"/>
      <c r="D18" s="6"/>
    </row>
    <row r="19">
      <c r="A19" s="3" t="s">
        <v>8</v>
      </c>
      <c r="B19" s="3">
        <v>251.0</v>
      </c>
    </row>
    <row r="20">
      <c r="A20" s="3" t="s">
        <v>156</v>
      </c>
      <c r="B20" s="3">
        <v>-3.0</v>
      </c>
    </row>
    <row r="21">
      <c r="A21" s="10" t="s">
        <v>120</v>
      </c>
    </row>
    <row r="22">
      <c r="A22" s="3" t="s">
        <v>121</v>
      </c>
      <c r="B22" s="3" t="s">
        <v>58</v>
      </c>
      <c r="C22" s="7"/>
    </row>
    <row r="23">
      <c r="A23" s="3" t="s">
        <v>122</v>
      </c>
      <c r="B23" s="3">
        <v>87.0</v>
      </c>
      <c r="D23" s="18"/>
    </row>
    <row r="24">
      <c r="A24" s="3" t="s">
        <v>123</v>
      </c>
      <c r="B24" s="20" t="s">
        <v>58</v>
      </c>
      <c r="C24" s="18"/>
    </row>
    <row r="25">
      <c r="A25" s="3" t="s">
        <v>162</v>
      </c>
      <c r="B25" s="3" t="s">
        <v>58</v>
      </c>
    </row>
    <row r="26">
      <c r="A26" s="10" t="s">
        <v>124</v>
      </c>
    </row>
    <row r="27">
      <c r="A27" s="3" t="s">
        <v>8</v>
      </c>
      <c r="B27" s="3">
        <v>342.0</v>
      </c>
      <c r="D27" s="18"/>
    </row>
    <row r="28">
      <c r="A28" s="3" t="s">
        <v>66</v>
      </c>
      <c r="D28" s="18"/>
    </row>
    <row r="29">
      <c r="A29" s="3" t="s">
        <v>166</v>
      </c>
      <c r="D29" s="18"/>
    </row>
    <row r="30">
      <c r="A30" s="3" t="s">
        <v>127</v>
      </c>
      <c r="B30" s="13">
        <f>B19+B23+B27</f>
        <v>680</v>
      </c>
      <c r="C30" s="13"/>
      <c r="D30" s="18"/>
    </row>
    <row r="37">
      <c r="B37" s="3" t="s">
        <v>111</v>
      </c>
      <c r="C37" s="3" t="s">
        <v>197</v>
      </c>
      <c r="D37" s="3" t="s">
        <v>198</v>
      </c>
      <c r="E37" s="3" t="s">
        <v>199</v>
      </c>
      <c r="F37" s="3" t="s">
        <v>200</v>
      </c>
    </row>
    <row r="38">
      <c r="C38" s="3">
        <v>10.0</v>
      </c>
      <c r="D38" s="3">
        <v>7.0</v>
      </c>
      <c r="E38" s="3">
        <v>5.0</v>
      </c>
    </row>
    <row r="39">
      <c r="B39" s="3" t="s">
        <v>201</v>
      </c>
    </row>
    <row r="40">
      <c r="B40" s="3" t="s">
        <v>202</v>
      </c>
      <c r="C40" s="3" t="s">
        <v>203</v>
      </c>
    </row>
    <row r="41">
      <c r="B41" s="3" t="s">
        <v>204</v>
      </c>
    </row>
    <row r="42">
      <c r="B42" s="9">
        <v>0.5</v>
      </c>
    </row>
    <row r="43">
      <c r="B43" s="3" t="s">
        <v>205</v>
      </c>
    </row>
    <row r="44">
      <c r="B44" s="3" t="s">
        <v>206</v>
      </c>
    </row>
  </sheetData>
  <drawing r:id="rId1"/>
</worksheet>
</file>